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xuanhnvt\Desktop\"/>
    </mc:Choice>
  </mc:AlternateContent>
  <bookViews>
    <workbookView xWindow="0" yWindow="0" windowWidth="15345" windowHeight="4635" activeTab="1"/>
  </bookViews>
  <sheets>
    <sheet name="DATA INPUT" sheetId="5" r:id="rId1"/>
    <sheet name="REPORT" sheetId="2" r:id="rId2"/>
  </sheets>
  <functionGroups builtInGroupCount="18"/>
  <definedNames>
    <definedName name="_xlnm._FilterDatabase" localSheetId="0" hidden="1">'DATA INPUT'!$A$2:$H$192</definedName>
    <definedName name="_xlnm.Print_Area" localSheetId="0">'DATA INPUT'!$A$1:$H$192</definedName>
    <definedName name="_xlnm.Print_Titles" localSheetId="0">'DATA INPUT'!$2:$2</definedName>
  </definedNames>
  <calcPr calcId="152511"/>
</workbook>
</file>

<file path=xl/calcChain.xml><?xml version="1.0" encoding="utf-8"?>
<calcChain xmlns="http://schemas.openxmlformats.org/spreadsheetml/2006/main">
  <c r="A124" i="5" l="1"/>
  <c r="D4" i="2"/>
  <c r="F4" i="2" l="1"/>
  <c r="A8" i="2" l="1"/>
  <c r="A172" i="5" l="1"/>
  <c r="A173" i="5"/>
  <c r="A174" i="5"/>
  <c r="A175" i="5"/>
  <c r="A176" i="5"/>
  <c r="A177" i="5"/>
  <c r="A178" i="5"/>
  <c r="A179" i="5"/>
  <c r="A180" i="5"/>
  <c r="A181" i="5"/>
  <c r="A182" i="5"/>
  <c r="A183" i="5"/>
  <c r="A184" i="5"/>
  <c r="A185" i="5"/>
  <c r="A186" i="5"/>
  <c r="A187" i="5"/>
  <c r="A188" i="5"/>
  <c r="A189" i="5"/>
  <c r="A171" i="5"/>
  <c r="A170" i="5"/>
  <c r="A143" i="5"/>
  <c r="A144" i="5"/>
  <c r="A145" i="5"/>
  <c r="A146" i="5"/>
  <c r="A147" i="5"/>
  <c r="A148" i="5"/>
  <c r="A149" i="5"/>
  <c r="A150" i="5"/>
  <c r="A151" i="5"/>
  <c r="A152" i="5"/>
  <c r="A153" i="5"/>
  <c r="A154" i="5"/>
  <c r="A155" i="5"/>
  <c r="A156" i="5"/>
  <c r="A157" i="5"/>
  <c r="A158" i="5"/>
  <c r="A159" i="5"/>
  <c r="A160" i="5"/>
  <c r="A161" i="5"/>
  <c r="A162" i="5"/>
  <c r="A163" i="5"/>
  <c r="A164" i="5"/>
  <c r="A165" i="5"/>
  <c r="A166" i="5"/>
  <c r="A167" i="5"/>
  <c r="A168" i="5"/>
  <c r="A142" i="5"/>
  <c r="A141" i="5"/>
  <c r="A135" i="5"/>
  <c r="A136" i="5"/>
  <c r="A137" i="5"/>
  <c r="A138" i="5"/>
  <c r="A139" i="5"/>
  <c r="A134" i="5"/>
  <c r="A133" i="5"/>
  <c r="A127" i="5"/>
  <c r="A128" i="5"/>
  <c r="A129" i="5"/>
  <c r="A130" i="5"/>
  <c r="A131" i="5"/>
  <c r="A126" i="5"/>
  <c r="A123" i="5"/>
  <c r="A118" i="5"/>
  <c r="A119" i="5"/>
  <c r="A120" i="5"/>
  <c r="A117" i="5"/>
  <c r="A116" i="5"/>
  <c r="A108" i="5"/>
  <c r="A109" i="5"/>
  <c r="A110" i="5"/>
  <c r="A111" i="5"/>
  <c r="A112" i="5"/>
  <c r="A113" i="5"/>
  <c r="A114" i="5"/>
  <c r="A107" i="5"/>
  <c r="A106" i="5"/>
  <c r="A95" i="5"/>
  <c r="A96" i="5"/>
  <c r="A97" i="5"/>
  <c r="A98" i="5"/>
  <c r="A99" i="5"/>
  <c r="A100" i="5"/>
  <c r="A101" i="5"/>
  <c r="A102" i="5"/>
  <c r="A103" i="5"/>
  <c r="A104" i="5"/>
  <c r="A94" i="5"/>
  <c r="A93" i="5"/>
  <c r="A63" i="5"/>
  <c r="A64" i="5"/>
  <c r="A65" i="5"/>
  <c r="A66" i="5"/>
  <c r="A67" i="5"/>
  <c r="A68" i="5"/>
  <c r="A69" i="5"/>
  <c r="A70" i="5"/>
  <c r="A71" i="5"/>
  <c r="A72" i="5"/>
  <c r="A73" i="5"/>
  <c r="A74" i="5"/>
  <c r="A75" i="5"/>
  <c r="A76" i="5"/>
  <c r="A77" i="5"/>
  <c r="A78" i="5"/>
  <c r="A79" i="5"/>
  <c r="A80" i="5"/>
  <c r="A81" i="5"/>
  <c r="A82" i="5"/>
  <c r="A83" i="5"/>
  <c r="A84" i="5"/>
  <c r="A85" i="5"/>
  <c r="A86" i="5"/>
  <c r="A87" i="5"/>
  <c r="A88" i="5"/>
  <c r="A89" i="5"/>
  <c r="A90" i="5"/>
  <c r="A91" i="5"/>
  <c r="A62" i="5"/>
  <c r="A61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A57" i="5"/>
  <c r="A58" i="5"/>
  <c r="A59" i="5"/>
  <c r="A34" i="5"/>
  <c r="A33" i="5"/>
  <c r="A31" i="5"/>
  <c r="A25" i="5"/>
  <c r="A26" i="5"/>
  <c r="A27" i="5"/>
  <c r="A28" i="5"/>
  <c r="A29" i="5"/>
  <c r="A30" i="5"/>
  <c r="A24" i="5"/>
  <c r="A23" i="5"/>
  <c r="A21" i="5"/>
  <c r="A17" i="5"/>
  <c r="A18" i="5"/>
  <c r="A19" i="5"/>
  <c r="A20" i="5"/>
  <c r="A16" i="5"/>
  <c r="A15" i="5"/>
  <c r="A13" i="5"/>
  <c r="A11" i="5"/>
  <c r="A12" i="5"/>
  <c r="A10" i="5"/>
  <c r="J4" i="2" l="1"/>
  <c r="D3" i="2" l="1"/>
  <c r="H3" i="2"/>
</calcChain>
</file>

<file path=xl/sharedStrings.xml><?xml version="1.0" encoding="utf-8"?>
<sst xmlns="http://schemas.openxmlformats.org/spreadsheetml/2006/main" count="916" uniqueCount="412">
  <si>
    <t>No.</t>
  </si>
  <si>
    <t>Code</t>
  </si>
  <si>
    <t>Full name</t>
  </si>
  <si>
    <t>VNO-</t>
  </si>
  <si>
    <t>STORE</t>
  </si>
  <si>
    <t>0985</t>
  </si>
  <si>
    <t>Ma Thanh Quan</t>
  </si>
  <si>
    <t>1092</t>
  </si>
  <si>
    <t>Pham Ngoc Quynh</t>
  </si>
  <si>
    <t>1192</t>
  </si>
  <si>
    <t>Nguyen Thi Quynh Giang</t>
  </si>
  <si>
    <t>1401</t>
  </si>
  <si>
    <t>Nguyen Thi Thu Thuy</t>
  </si>
  <si>
    <t>1405</t>
  </si>
  <si>
    <t>Nguyen Thanh Tan</t>
  </si>
  <si>
    <t>Production Supervisor</t>
  </si>
  <si>
    <t>1416</t>
  </si>
  <si>
    <t>Yau Chon Ket</t>
  </si>
  <si>
    <t>1616</t>
  </si>
  <si>
    <t>Mai Van Tinh</t>
  </si>
  <si>
    <t>Scaffolder</t>
  </si>
  <si>
    <t>1618</t>
  </si>
  <si>
    <t>Nguyen Ngoc Thuan</t>
  </si>
  <si>
    <t>1619</t>
  </si>
  <si>
    <t>Cao Van Huan</t>
  </si>
  <si>
    <t>1720</t>
  </si>
  <si>
    <t>Nguyen Quoc Binh</t>
  </si>
  <si>
    <t>Welder</t>
  </si>
  <si>
    <t>1724</t>
  </si>
  <si>
    <t>Nguyen Minh Thao</t>
  </si>
  <si>
    <t>1726</t>
  </si>
  <si>
    <t>Tran Doan Cao</t>
  </si>
  <si>
    <t>1730</t>
  </si>
  <si>
    <t>Luu Duc Bay</t>
  </si>
  <si>
    <t>1731</t>
  </si>
  <si>
    <t>Nguyen Xuan Thien</t>
  </si>
  <si>
    <t>1732</t>
  </si>
  <si>
    <t>Nguyen Xuan Binh</t>
  </si>
  <si>
    <t>1733</t>
  </si>
  <si>
    <t>Tran Cong Mui</t>
  </si>
  <si>
    <t>1738</t>
  </si>
  <si>
    <t>Dao Quang Truc</t>
  </si>
  <si>
    <t>FCAW Welder</t>
  </si>
  <si>
    <t>1739</t>
  </si>
  <si>
    <t>Pham Van Kien</t>
  </si>
  <si>
    <t>1997</t>
  </si>
  <si>
    <t>Le Chi Linh</t>
  </si>
  <si>
    <t>Fitter</t>
  </si>
  <si>
    <t>2000</t>
  </si>
  <si>
    <t>Pham The Son</t>
  </si>
  <si>
    <t>2002</t>
  </si>
  <si>
    <t>Tran Cong Quang</t>
  </si>
  <si>
    <t>2003</t>
  </si>
  <si>
    <t>Nguyen Thai Mao</t>
  </si>
  <si>
    <t>2004</t>
  </si>
  <si>
    <t>Nguyen Van Vuong</t>
  </si>
  <si>
    <t>2015</t>
  </si>
  <si>
    <t>Vo Van Luc</t>
  </si>
  <si>
    <t>Nguyen Van Hien</t>
  </si>
  <si>
    <t>2271</t>
  </si>
  <si>
    <t>Le Dinh Chien</t>
  </si>
  <si>
    <t>Blaster</t>
  </si>
  <si>
    <t>2272</t>
  </si>
  <si>
    <t>Nguyen Tam Sy</t>
  </si>
  <si>
    <t>2273</t>
  </si>
  <si>
    <t>Hoang The Hung</t>
  </si>
  <si>
    <t>2274</t>
  </si>
  <si>
    <t>Vo Duc Phong</t>
  </si>
  <si>
    <t>2275</t>
  </si>
  <si>
    <t>Dao Tat Hong</t>
  </si>
  <si>
    <t>Painter</t>
  </si>
  <si>
    <t>2276</t>
  </si>
  <si>
    <t>Le Quang Hao</t>
  </si>
  <si>
    <t>2277</t>
  </si>
  <si>
    <t>Nguyen Ngoc Ba</t>
  </si>
  <si>
    <t>2278</t>
  </si>
  <si>
    <t>Dang Minh Thanh</t>
  </si>
  <si>
    <t>2279</t>
  </si>
  <si>
    <t>Nguyen Van Khanh</t>
  </si>
  <si>
    <t>2383</t>
  </si>
  <si>
    <t>Le Ngoc Vinh</t>
  </si>
  <si>
    <t>2384</t>
  </si>
  <si>
    <t>Nguyen Nhat Tan</t>
  </si>
  <si>
    <t>2386</t>
  </si>
  <si>
    <t>Tran Van Ha</t>
  </si>
  <si>
    <t xml:space="preserve">Electrician </t>
  </si>
  <si>
    <t>2594</t>
  </si>
  <si>
    <t>Nguyen Van Hung</t>
  </si>
  <si>
    <t>2694</t>
  </si>
  <si>
    <t>Tran Duc Thang</t>
  </si>
  <si>
    <t>Lathe Operator</t>
  </si>
  <si>
    <t>2698</t>
  </si>
  <si>
    <t>Tong Van Thang</t>
  </si>
  <si>
    <t>2700</t>
  </si>
  <si>
    <t>Nguyen Van Huu</t>
  </si>
  <si>
    <t>Forklift Operator</t>
  </si>
  <si>
    <t>2701</t>
  </si>
  <si>
    <t>Nguyen Van Duc</t>
  </si>
  <si>
    <t>2704</t>
  </si>
  <si>
    <t>Le Van Huy</t>
  </si>
  <si>
    <t>Crane/ Forklift  Operator</t>
  </si>
  <si>
    <t>HELPER</t>
  </si>
  <si>
    <t>Helper</t>
  </si>
  <si>
    <t>2804</t>
  </si>
  <si>
    <t>Le Xuan Thang</t>
  </si>
  <si>
    <t>2823</t>
  </si>
  <si>
    <t>Tran Van Quy</t>
  </si>
  <si>
    <t>2827</t>
  </si>
  <si>
    <t>Vo Khanh Hoa</t>
  </si>
  <si>
    <t>2839</t>
  </si>
  <si>
    <t>Le Dang Khoa</t>
  </si>
  <si>
    <t>2845</t>
  </si>
  <si>
    <t>Nguyen Hoang Anh Tuan</t>
  </si>
  <si>
    <t>2848</t>
  </si>
  <si>
    <t>Luong Van Nham</t>
  </si>
  <si>
    <t>004</t>
  </si>
  <si>
    <t>Koh Beng Hock</t>
  </si>
  <si>
    <t>Scaffolding Supervisor</t>
  </si>
  <si>
    <t>Structure Engineer</t>
  </si>
  <si>
    <t>Position</t>
  </si>
  <si>
    <t>Remark</t>
  </si>
  <si>
    <t>1420</t>
  </si>
  <si>
    <t>Tran Do Dat</t>
  </si>
  <si>
    <t>Draft man</t>
  </si>
  <si>
    <r>
      <rPr>
        <sz val="10"/>
        <rFont val="Arial"/>
        <family val="2"/>
      </rPr>
      <t xml:space="preserve">Scaffolder </t>
    </r>
    <r>
      <rPr>
        <b/>
        <sz val="10"/>
        <rFont val="Arial"/>
        <family val="2"/>
      </rPr>
      <t>(Vice Team leader)</t>
    </r>
  </si>
  <si>
    <t>2858</t>
  </si>
  <si>
    <t>Nguyen Anh Dung</t>
  </si>
  <si>
    <t>1087</t>
  </si>
  <si>
    <t>Project Manager</t>
  </si>
  <si>
    <t>2854</t>
  </si>
  <si>
    <t>E &amp; I Asst.</t>
  </si>
  <si>
    <t>Hoang Trung Kien</t>
  </si>
  <si>
    <t>1758</t>
  </si>
  <si>
    <t>Painting Supervisor</t>
  </si>
  <si>
    <t>Tran Le Dang Thien An</t>
  </si>
  <si>
    <t>2864</t>
  </si>
  <si>
    <t>Pham Minh Nha</t>
  </si>
  <si>
    <t>2023</t>
  </si>
  <si>
    <t>Production Engineer</t>
  </si>
  <si>
    <t>1768</t>
  </si>
  <si>
    <t>Nguyen Ngoc Hieu</t>
  </si>
  <si>
    <t>Mai Phuoc Trung</t>
  </si>
  <si>
    <t>Luu Thanh Lam</t>
  </si>
  <si>
    <t>1771</t>
  </si>
  <si>
    <t>1773</t>
  </si>
  <si>
    <t>FITTER</t>
  </si>
  <si>
    <t>Nguyen Xuan Luan</t>
  </si>
  <si>
    <t>2031</t>
  </si>
  <si>
    <t>Nguyen Thi Hong</t>
  </si>
  <si>
    <t>Nguyen Thi Huong</t>
  </si>
  <si>
    <t>2876</t>
  </si>
  <si>
    <t>2878</t>
  </si>
  <si>
    <t>2026</t>
  </si>
  <si>
    <t>Dau Van Nam</t>
  </si>
  <si>
    <t>2706</t>
  </si>
  <si>
    <t>2888</t>
  </si>
  <si>
    <t>Võ Thị Kim Tiến</t>
  </si>
  <si>
    <t>2044</t>
  </si>
  <si>
    <t>Nguyen Tran Noan</t>
  </si>
  <si>
    <t>Ngo Duc Hung</t>
  </si>
  <si>
    <t>1424</t>
  </si>
  <si>
    <t>1781</t>
  </si>
  <si>
    <t>2052</t>
  </si>
  <si>
    <t>1784</t>
  </si>
  <si>
    <t>1785</t>
  </si>
  <si>
    <t>Nguyen Quoc Dung</t>
  </si>
  <si>
    <t>1620</t>
  </si>
  <si>
    <t>Nguyen Thi Anh</t>
  </si>
  <si>
    <t>1426</t>
  </si>
  <si>
    <t>Nguyen Van Truyen</t>
  </si>
  <si>
    <t>2907</t>
  </si>
  <si>
    <t>1788</t>
  </si>
  <si>
    <t>1790</t>
  </si>
  <si>
    <t>2059</t>
  </si>
  <si>
    <t>1428</t>
  </si>
  <si>
    <t>Le Phan Anh</t>
  </si>
  <si>
    <t>1797</t>
  </si>
  <si>
    <t>2914</t>
  </si>
  <si>
    <t>2916</t>
  </si>
  <si>
    <t>2918</t>
  </si>
  <si>
    <t>Nguyen Quang Thang</t>
  </si>
  <si>
    <t>1430</t>
  </si>
  <si>
    <t>2062</t>
  </si>
  <si>
    <t>Nguyen Duc Quang</t>
  </si>
  <si>
    <t>2709</t>
  </si>
  <si>
    <t>1431</t>
  </si>
  <si>
    <t>Đinh Văn Dũng</t>
  </si>
  <si>
    <t>Structure/Piping Engineer</t>
  </si>
  <si>
    <t>Pham Thi Trang</t>
  </si>
  <si>
    <t>Lathe CNC Opr</t>
  </si>
  <si>
    <t>Crane/FL Opr</t>
  </si>
  <si>
    <t>Nguyen Huu Sang</t>
  </si>
  <si>
    <t>2896</t>
  </si>
  <si>
    <t>Machinery Opr</t>
  </si>
  <si>
    <t>Production Manager</t>
  </si>
  <si>
    <t>Vo Van Cam</t>
  </si>
  <si>
    <t>Nguyen Truong Giang</t>
  </si>
  <si>
    <t>Dang Kim Tuyen</t>
  </si>
  <si>
    <t>Thach Thi Sinh</t>
  </si>
  <si>
    <t>Tran Van Nghia</t>
  </si>
  <si>
    <t>Le Van Toan</t>
  </si>
  <si>
    <t>Nguyen Van Thuat</t>
  </si>
  <si>
    <t>1432</t>
  </si>
  <si>
    <t>Tran Thi Hang</t>
  </si>
  <si>
    <t>1805</t>
  </si>
  <si>
    <t>Vu Van Kha</t>
  </si>
  <si>
    <t>1808</t>
  </si>
  <si>
    <t>Hoang Van Mung</t>
  </si>
  <si>
    <t>1809</t>
  </si>
  <si>
    <t>Nguyen Van Tuong</t>
  </si>
  <si>
    <t>1810</t>
  </si>
  <si>
    <t>Phan Van Phat</t>
  </si>
  <si>
    <t>Le Manh Quan</t>
  </si>
  <si>
    <t>Hoang Huy Hung</t>
  </si>
  <si>
    <t>Le Thanh Hung</t>
  </si>
  <si>
    <t>1794</t>
  </si>
  <si>
    <t>Nguyen Dao Bon</t>
  </si>
  <si>
    <t>Bui Van Viet</t>
  </si>
  <si>
    <t>1803</t>
  </si>
  <si>
    <t>2071</t>
  </si>
  <si>
    <t>Ha Phuoc Vu</t>
  </si>
  <si>
    <t>2072</t>
  </si>
  <si>
    <t xml:space="preserve">Nguyen Van </t>
  </si>
  <si>
    <t>2034</t>
  </si>
  <si>
    <t>Ngo Van Diem</t>
  </si>
  <si>
    <t>2040</t>
  </si>
  <si>
    <t>Nguyen Vinh Huy</t>
  </si>
  <si>
    <t>Tran Huu Truong</t>
  </si>
  <si>
    <t>Nguyen Manh Tien</t>
  </si>
  <si>
    <t>Ngo Tri Than</t>
  </si>
  <si>
    <t>Do Van Sinh</t>
  </si>
  <si>
    <t>2065</t>
  </si>
  <si>
    <t>Mai Van Minh</t>
  </si>
  <si>
    <t>2068</t>
  </si>
  <si>
    <t>2881</t>
  </si>
  <si>
    <t>Nguyen Huu Hien</t>
  </si>
  <si>
    <t>Le Kim Loc</t>
  </si>
  <si>
    <t>Su A Sam</t>
  </si>
  <si>
    <t>Pham Thi Tuyet Mai</t>
  </si>
  <si>
    <t>2927</t>
  </si>
  <si>
    <t>Su The Anh</t>
  </si>
  <si>
    <t>2929</t>
  </si>
  <si>
    <t>Nguyen Thi Luu</t>
  </si>
  <si>
    <t>2933</t>
  </si>
  <si>
    <t>2935</t>
  </si>
  <si>
    <t>2941</t>
  </si>
  <si>
    <t>2942</t>
  </si>
  <si>
    <t>2961</t>
  </si>
  <si>
    <t>Ngo Hong Nhon</t>
  </si>
  <si>
    <t>2715</t>
  </si>
  <si>
    <t>Nguyen Van Tach</t>
  </si>
  <si>
    <t>2716</t>
  </si>
  <si>
    <t>Vuong Quoc Cuong</t>
  </si>
  <si>
    <t>1435</t>
  </si>
  <si>
    <t>Bui Nhan Duc</t>
  </si>
  <si>
    <t>Nguyen Quang Truong</t>
  </si>
  <si>
    <t>2970</t>
  </si>
  <si>
    <t>Doan Thi Tho</t>
  </si>
  <si>
    <t>2971</t>
  </si>
  <si>
    <t>Trinh Viet Hung</t>
  </si>
  <si>
    <t>5523</t>
  </si>
  <si>
    <t>Tran Quang Thu</t>
  </si>
  <si>
    <t>2974</t>
  </si>
  <si>
    <t>2975</t>
  </si>
  <si>
    <t>Do Hoai Giang</t>
  </si>
  <si>
    <t>Hoang Anh Dung</t>
  </si>
  <si>
    <t>2084</t>
  </si>
  <si>
    <t>Nguyen Tien Thanh</t>
  </si>
  <si>
    <t>Scaffolder/ Insulator</t>
  </si>
  <si>
    <t>2978</t>
  </si>
  <si>
    <t>Bui Thi Huyen</t>
  </si>
  <si>
    <t>Le Thi Duyen</t>
  </si>
  <si>
    <t>Nguyen Van Hoi</t>
  </si>
  <si>
    <t>Nguyen Van Hai</t>
  </si>
  <si>
    <t>MACHINE &amp;  EQUIPMENT OPERATOR</t>
  </si>
  <si>
    <t>Operator Asst</t>
  </si>
  <si>
    <t>2977</t>
  </si>
  <si>
    <t>2981</t>
  </si>
  <si>
    <t>Mai Diem Kieu</t>
  </si>
  <si>
    <t>1437</t>
  </si>
  <si>
    <t>2983</t>
  </si>
  <si>
    <t>Pham Ngoc Anh</t>
  </si>
  <si>
    <t>1625</t>
  </si>
  <si>
    <t>Tran Van Dong</t>
  </si>
  <si>
    <t>Le Anh Viet</t>
  </si>
  <si>
    <t>1438</t>
  </si>
  <si>
    <t>Vo The My</t>
  </si>
  <si>
    <t>Piping engineer</t>
  </si>
  <si>
    <t xml:space="preserve">PRODUCTION LIST </t>
  </si>
  <si>
    <t>Group</t>
  </si>
  <si>
    <t>MANAGEMENT</t>
  </si>
  <si>
    <t>DGM/Operation</t>
  </si>
  <si>
    <t>Asst. Project Manager</t>
  </si>
  <si>
    <t>ENGINEER</t>
  </si>
  <si>
    <t>Engineer Team leader</t>
  </si>
  <si>
    <t>Production co-ordinator</t>
  </si>
  <si>
    <t>Production Asst.</t>
  </si>
  <si>
    <t>WELDER</t>
  </si>
  <si>
    <t>Abu hanif</t>
  </si>
  <si>
    <t>Alam md jahangir</t>
  </si>
  <si>
    <t>Amjad</t>
  </si>
  <si>
    <t>Ilius mohammed</t>
  </si>
  <si>
    <t>Jarjis Alam</t>
  </si>
  <si>
    <t>Mizan</t>
  </si>
  <si>
    <t>Sabikul islam</t>
  </si>
  <si>
    <t>Shamim hasan</t>
  </si>
  <si>
    <t>Zakir</t>
  </si>
  <si>
    <t>Muthusamy Venkateswaran</t>
  </si>
  <si>
    <t>Rasamanickam Sukenthiran</t>
  </si>
  <si>
    <t>Paramanandam Viyayakumar</t>
  </si>
  <si>
    <t>Marimuthu Mahendran</t>
  </si>
  <si>
    <t>Kumar Karthick</t>
  </si>
  <si>
    <t>Chelluboyina Thatha Rao</t>
  </si>
  <si>
    <t>Struc Fitter</t>
  </si>
  <si>
    <t>3G Struc Welder</t>
  </si>
  <si>
    <t xml:space="preserve">3G FCAW WELDER </t>
  </si>
  <si>
    <t xml:space="preserve">3G Struc Mig Welder </t>
  </si>
  <si>
    <t>FOREIGNER</t>
  </si>
  <si>
    <t>Painter / Asst Site Sup'v</t>
  </si>
  <si>
    <t>Asst CNC operator</t>
  </si>
  <si>
    <t>RBS Operator</t>
  </si>
  <si>
    <t>Subramanian Sundar Rasu</t>
  </si>
  <si>
    <t>Dharmarasu Selvendiran</t>
  </si>
  <si>
    <t>Adaikkalam Santhanaprabu</t>
  </si>
  <si>
    <t>2990</t>
  </si>
  <si>
    <t>Thach Sang</t>
  </si>
  <si>
    <t>Welding foreman</t>
  </si>
  <si>
    <t>Vu Thi Lien</t>
  </si>
  <si>
    <t>Project D.C</t>
  </si>
  <si>
    <t>3000</t>
  </si>
  <si>
    <t>Doan Quang Tung</t>
  </si>
  <si>
    <t>2999</t>
  </si>
  <si>
    <t>Le Van Cao</t>
  </si>
  <si>
    <t>Tran Van Tri</t>
  </si>
  <si>
    <t>Ngo Minh Hai</t>
  </si>
  <si>
    <t>Nguyen Van Nghia</t>
  </si>
  <si>
    <t xml:space="preserve">Bangladeshi </t>
  </si>
  <si>
    <t xml:space="preserve">Indian </t>
  </si>
  <si>
    <t xml:space="preserve">Truong Thi Van </t>
  </si>
  <si>
    <t>3057</t>
  </si>
  <si>
    <t>3009</t>
  </si>
  <si>
    <t>Le Thi Phuong Vy</t>
  </si>
  <si>
    <t>Production Adm.</t>
  </si>
  <si>
    <t>Thuong Van Phat</t>
  </si>
  <si>
    <t xml:space="preserve">Nguyen Hoang Son </t>
  </si>
  <si>
    <t xml:space="preserve">Tong Hoang Huy </t>
  </si>
  <si>
    <t>2997</t>
  </si>
  <si>
    <t>Bui Thanh Long</t>
  </si>
  <si>
    <t>3061</t>
  </si>
  <si>
    <t>Le Duc Tho</t>
  </si>
  <si>
    <t xml:space="preserve">Dang Van Hien </t>
  </si>
  <si>
    <t xml:space="preserve">Dang Van Giang </t>
  </si>
  <si>
    <t>Thuong Thanh Tai</t>
  </si>
  <si>
    <t>3063</t>
  </si>
  <si>
    <t>Truong Van Lam</t>
  </si>
  <si>
    <t>Nguyen Minh Hieu</t>
  </si>
  <si>
    <t>3069</t>
  </si>
  <si>
    <t>Bui Van Ba</t>
  </si>
  <si>
    <t>3071</t>
  </si>
  <si>
    <t>Hoang Van Tung</t>
  </si>
  <si>
    <t>3070</t>
  </si>
  <si>
    <t>Nguyen Hoang Minh</t>
  </si>
  <si>
    <t>Blaster/Painter</t>
  </si>
  <si>
    <t xml:space="preserve">Nguyen Van Thai </t>
  </si>
  <si>
    <t>Tran Ngoc Tien</t>
  </si>
  <si>
    <t>3074</t>
  </si>
  <si>
    <t>Truong Dinh Thanh</t>
  </si>
  <si>
    <t>Ha Duc Cuong</t>
  </si>
  <si>
    <t>MANPOWER STATISTIC</t>
  </si>
  <si>
    <t>DATE</t>
  </si>
  <si>
    <t>TOTAL</t>
  </si>
  <si>
    <t>WORKING</t>
  </si>
  <si>
    <t>INDIRECT</t>
  </si>
  <si>
    <t>PROJECT</t>
  </si>
  <si>
    <t>IN-HOUSE</t>
  </si>
  <si>
    <t>PM, ADMIN, ENGINEER</t>
  </si>
  <si>
    <t>SUPERVISOR</t>
  </si>
  <si>
    <t>OPERATOR</t>
  </si>
  <si>
    <t>E&amp;I</t>
  </si>
  <si>
    <t>SUB-CONT</t>
  </si>
  <si>
    <t>ON LEAVE</t>
  </si>
  <si>
    <t>20-CE-003</t>
  </si>
  <si>
    <t>20-CE-006</t>
  </si>
  <si>
    <t>20-CE-014</t>
  </si>
  <si>
    <t>PaintingTeam Leader</t>
  </si>
  <si>
    <t>Painting Vice Team leader</t>
  </si>
  <si>
    <t>E&amp;I Supervisor</t>
  </si>
  <si>
    <t>Welding consumable store keeper</t>
  </si>
  <si>
    <t>CNC Supervisor</t>
  </si>
  <si>
    <t>Crane/Forklift Team leader</t>
  </si>
  <si>
    <t>Kamaraj Ragupathi</t>
  </si>
  <si>
    <t>MARISETY DHANA KOTI</t>
  </si>
  <si>
    <t>Rigger/Crane Operator</t>
  </si>
  <si>
    <t>Store keeper</t>
  </si>
  <si>
    <t>Welder/ E&amp;I Technician</t>
  </si>
  <si>
    <t>(0.5M)20-CE-014</t>
  </si>
  <si>
    <t>(0.5A)20-CE-021</t>
  </si>
  <si>
    <t>Total</t>
  </si>
  <si>
    <t>ADMIN</t>
  </si>
  <si>
    <t>BLASTER/PAINTER</t>
  </si>
  <si>
    <t>TRANSPORTATION (FORKLIFT/CRANE)</t>
  </si>
  <si>
    <t>SCAFFOLDER/INSULATOR</t>
  </si>
  <si>
    <t>FORKLIFT/CRANE</t>
  </si>
  <si>
    <t>20-CE-021</t>
  </si>
  <si>
    <t>20-CE-015</t>
  </si>
  <si>
    <t>20-CE-016</t>
  </si>
  <si>
    <t>20-CE-019</t>
  </si>
  <si>
    <t>20-CE-020</t>
  </si>
  <si>
    <t>20-CE-017</t>
  </si>
  <si>
    <t>OL</t>
  </si>
  <si>
    <t>IH</t>
  </si>
  <si>
    <t>Double click on project to view list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</si>
</sst>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[$-409]dd\-mmm\-yy;@"/>
    <numFmt numFmtId="165" formatCode="B1dd\-mmm\-yy"/>
    <numFmt numFmtId="166" formatCode="[$-409]d\-mmm\-yy;@"/>
  </numFmts>
  <fonts count="1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0"/>
      <name val="VNI-Times"/>
    </font>
    <font>
      <b/>
      <sz val="10"/>
      <color indexed="12"/>
      <name val="Arial"/>
      <family val="2"/>
    </font>
    <font>
      <sz val="20"/>
      <color theme="1"/>
      <name val="Calibri"/>
      <family val="2"/>
      <scheme val="minor"/>
    </font>
    <font>
      <sz val="10"/>
      <color rgb="FFFF0000"/>
      <name val="Arial"/>
      <family val="2"/>
    </font>
    <font>
      <sz val="11"/>
      <name val="Calibri"/>
      <family val="2"/>
      <scheme val="minor"/>
    </font>
    <font>
      <sz val="11"/>
      <name val="Calibri"/>
      <family val="2"/>
      <charset val="163"/>
      <scheme val="minor"/>
    </font>
    <font>
      <b/>
      <sz val="10"/>
      <color theme="1"/>
      <name val="Arial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5"/>
      <color rgb="FF002060"/>
      <name val="Calibri"/>
      <family val="2"/>
      <scheme val="minor"/>
    </font>
    <font>
      <b/>
      <sz val="15"/>
      <color rgb="FF00B05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double">
        <color indexed="64"/>
      </bottom>
      <diagonal/>
    </border>
  </borders>
  <cellStyleXfs count="78">
    <xf numFmtId="0" fontId="0" fillId="0" borderId="0"/>
    <xf numFmtId="0" fontId="2" fillId="0" borderId="0"/>
    <xf numFmtId="0" fontId="2" fillId="0" borderId="0"/>
    <xf numFmtId="164" fontId="1" fillId="0" borderId="0"/>
    <xf numFmtId="0" fontId="2" fillId="0" borderId="0" applyAlignment="0">
      <alignment vertical="top" wrapText="1"/>
      <protection locked="0"/>
    </xf>
    <xf numFmtId="43" fontId="4" fillId="0" borderId="0" applyFont="0" applyFill="0" applyBorder="0" applyAlignment="0" applyProtection="0"/>
    <xf numFmtId="0" fontId="1" fillId="0" borderId="0"/>
    <xf numFmtId="0" fontId="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" fillId="0" borderId="0"/>
    <xf numFmtId="0" fontId="2" fillId="0" borderId="0"/>
    <xf numFmtId="164" fontId="2" fillId="0" borderId="0" applyAlignment="0">
      <alignment vertical="top" wrapText="1"/>
      <protection locked="0"/>
    </xf>
    <xf numFmtId="43" fontId="4" fillId="0" borderId="0" applyFont="0" applyFill="0" applyBorder="0" applyAlignment="0" applyProtection="0"/>
    <xf numFmtId="164" fontId="1" fillId="0" borderId="0"/>
    <xf numFmtId="164" fontId="2" fillId="0" borderId="0"/>
    <xf numFmtId="164" fontId="4" fillId="0" borderId="0"/>
    <xf numFmtId="164" fontId="4" fillId="0" borderId="0"/>
    <xf numFmtId="164" fontId="4" fillId="0" borderId="0"/>
    <xf numFmtId="164" fontId="4" fillId="0" borderId="0"/>
    <xf numFmtId="164" fontId="1" fillId="0" borderId="0"/>
    <xf numFmtId="164" fontId="2" fillId="0" borderId="0"/>
    <xf numFmtId="43" fontId="4" fillId="0" borderId="0" applyFont="0" applyFill="0" applyBorder="0" applyAlignment="0" applyProtection="0"/>
    <xf numFmtId="0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</cellStyleXfs>
  <cellXfs count="130">
    <xf numFmtId="0" fontId="0" fillId="0" borderId="0" xfId="0"/>
    <xf numFmtId="0" fontId="2" fillId="0" borderId="6" xfId="2" applyFont="1" applyFill="1" applyBorder="1" applyAlignment="1">
      <alignment horizontal="center" vertical="center"/>
    </xf>
    <xf numFmtId="0" fontId="2" fillId="0" borderId="6" xfId="1" applyFont="1" applyFill="1" applyBorder="1" applyAlignment="1">
      <alignment horizontal="left" vertical="center"/>
    </xf>
    <xf numFmtId="0" fontId="2" fillId="0" borderId="6" xfId="2" applyFont="1" applyFill="1" applyBorder="1" applyAlignment="1">
      <alignment horizontal="left" vertical="center"/>
    </xf>
    <xf numFmtId="0" fontId="2" fillId="0" borderId="6" xfId="2" applyFont="1" applyFill="1" applyBorder="1" applyAlignment="1">
      <alignment vertical="center"/>
    </xf>
    <xf numFmtId="0" fontId="2" fillId="0" borderId="6" xfId="1" applyFont="1" applyFill="1" applyBorder="1" applyAlignment="1">
      <alignment vertical="center"/>
    </xf>
    <xf numFmtId="0" fontId="2" fillId="0" borderId="6" xfId="1" applyFont="1" applyFill="1" applyBorder="1" applyAlignment="1">
      <alignment horizontal="center" vertical="center"/>
    </xf>
    <xf numFmtId="0" fontId="2" fillId="0" borderId="7" xfId="2" applyFont="1" applyFill="1" applyBorder="1" applyAlignment="1">
      <alignment horizontal="center" vertical="center"/>
    </xf>
    <xf numFmtId="0" fontId="2" fillId="0" borderId="7" xfId="1" applyFont="1" applyFill="1" applyBorder="1" applyAlignment="1">
      <alignment vertical="center"/>
    </xf>
    <xf numFmtId="0" fontId="2" fillId="0" borderId="7" xfId="2" applyFont="1" applyFill="1" applyBorder="1" applyAlignment="1">
      <alignment vertical="center"/>
    </xf>
    <xf numFmtId="0" fontId="3" fillId="0" borderId="6" xfId="2" applyFont="1" applyFill="1" applyBorder="1" applyAlignment="1">
      <alignment vertical="center"/>
    </xf>
    <xf numFmtId="0" fontId="8" fillId="0" borderId="0" xfId="0" applyFont="1"/>
    <xf numFmtId="0" fontId="9" fillId="0" borderId="7" xfId="0" applyFont="1" applyBorder="1"/>
    <xf numFmtId="0" fontId="9" fillId="0" borderId="6" xfId="0" applyFont="1" applyBorder="1"/>
    <xf numFmtId="165" fontId="2" fillId="0" borderId="6" xfId="1" applyNumberFormat="1" applyFont="1" applyFill="1" applyBorder="1" applyAlignment="1">
      <alignment vertical="center"/>
    </xf>
    <xf numFmtId="0" fontId="0" fillId="0" borderId="6" xfId="0" applyBorder="1"/>
    <xf numFmtId="49" fontId="2" fillId="0" borderId="6" xfId="1" applyNumberFormat="1" applyFont="1" applyFill="1" applyBorder="1" applyAlignment="1">
      <alignment horizontal="center" vertical="center"/>
    </xf>
    <xf numFmtId="0" fontId="2" fillId="0" borderId="6" xfId="0" applyFont="1" applyBorder="1" applyAlignment="1">
      <alignment horizontal="center"/>
    </xf>
    <xf numFmtId="0" fontId="2" fillId="3" borderId="6" xfId="1" applyFont="1" applyFill="1" applyBorder="1" applyAlignment="1">
      <alignment horizontal="center" vertical="center"/>
    </xf>
    <xf numFmtId="0" fontId="2" fillId="0" borderId="5" xfId="1" applyFont="1" applyFill="1" applyBorder="1" applyAlignment="1">
      <alignment vertical="center"/>
    </xf>
    <xf numFmtId="0" fontId="5" fillId="0" borderId="5" xfId="1" applyFont="1" applyFill="1" applyBorder="1" applyAlignment="1">
      <alignment vertical="center"/>
    </xf>
    <xf numFmtId="0" fontId="2" fillId="0" borderId="5" xfId="1" applyFont="1" applyFill="1" applyBorder="1" applyAlignment="1">
      <alignment horizontal="center" vertical="center"/>
    </xf>
    <xf numFmtId="0" fontId="2" fillId="0" borderId="5" xfId="2" applyFont="1" applyFill="1" applyBorder="1" applyAlignment="1">
      <alignment horizontal="center" vertical="center"/>
    </xf>
    <xf numFmtId="0" fontId="0" fillId="0" borderId="6" xfId="0" applyBorder="1" applyAlignment="1">
      <alignment vertical="center" wrapText="1"/>
    </xf>
    <xf numFmtId="1" fontId="9" fillId="0" borderId="6" xfId="0" applyNumberFormat="1" applyFont="1" applyBorder="1" applyAlignment="1">
      <alignment horizontal="center" vertical="center" wrapText="1"/>
    </xf>
    <xf numFmtId="0" fontId="9" fillId="0" borderId="6" xfId="0" applyFont="1" applyBorder="1" applyAlignment="1">
      <alignment vertical="center" wrapText="1"/>
    </xf>
    <xf numFmtId="0" fontId="9" fillId="0" borderId="6" xfId="0" applyFont="1" applyBorder="1" applyAlignment="1">
      <alignment horizontal="left" vertical="center" wrapText="1"/>
    </xf>
    <xf numFmtId="0" fontId="2" fillId="2" borderId="4" xfId="1" applyFont="1" applyFill="1" applyBorder="1" applyAlignment="1">
      <alignment horizontal="center" vertical="center"/>
    </xf>
    <xf numFmtId="0" fontId="2" fillId="2" borderId="2" xfId="1" applyFont="1" applyFill="1" applyBorder="1" applyAlignment="1">
      <alignment horizontal="center" vertical="center"/>
    </xf>
    <xf numFmtId="0" fontId="2" fillId="2" borderId="3" xfId="1" applyNumberFormat="1" applyFont="1" applyFill="1" applyBorder="1" applyAlignment="1">
      <alignment horizontal="center" vertical="center"/>
    </xf>
    <xf numFmtId="49" fontId="2" fillId="0" borderId="6" xfId="1" quotePrefix="1" applyNumberFormat="1" applyFont="1" applyFill="1" applyBorder="1" applyAlignment="1">
      <alignment horizontal="center" vertical="center"/>
    </xf>
    <xf numFmtId="49" fontId="2" fillId="3" borderId="6" xfId="1" applyNumberFormat="1" applyFont="1" applyFill="1" applyBorder="1" applyAlignment="1">
      <alignment horizontal="center" vertical="center"/>
    </xf>
    <xf numFmtId="0" fontId="2" fillId="0" borderId="9" xfId="2" applyFont="1" applyFill="1" applyBorder="1" applyAlignment="1">
      <alignment horizontal="center" vertical="center"/>
    </xf>
    <xf numFmtId="0" fontId="2" fillId="0" borderId="9" xfId="1" applyFont="1" applyFill="1" applyBorder="1" applyAlignment="1">
      <alignment horizontal="center" vertical="center"/>
    </xf>
    <xf numFmtId="49" fontId="2" fillId="0" borderId="9" xfId="1" quotePrefix="1" applyNumberFormat="1" applyFont="1" applyFill="1" applyBorder="1" applyAlignment="1">
      <alignment horizontal="center" vertical="center"/>
    </xf>
    <xf numFmtId="0" fontId="2" fillId="0" borderId="9" xfId="1" applyFont="1" applyFill="1" applyBorder="1" applyAlignment="1">
      <alignment horizontal="left" vertical="center"/>
    </xf>
    <xf numFmtId="0" fontId="7" fillId="0" borderId="9" xfId="1" applyFont="1" applyFill="1" applyBorder="1" applyAlignment="1">
      <alignment horizontal="left" vertical="center"/>
    </xf>
    <xf numFmtId="0" fontId="2" fillId="0" borderId="9" xfId="2" applyFont="1" applyFill="1" applyBorder="1" applyAlignment="1">
      <alignment horizontal="left" vertical="center"/>
    </xf>
    <xf numFmtId="0" fontId="2" fillId="0" borderId="7" xfId="1" applyFont="1" applyFill="1" applyBorder="1" applyAlignment="1">
      <alignment horizontal="center" vertical="center"/>
    </xf>
    <xf numFmtId="49" fontId="2" fillId="0" borderId="7" xfId="1" applyNumberFormat="1" applyFont="1" applyFill="1" applyBorder="1" applyAlignment="1">
      <alignment horizontal="center" vertical="center"/>
    </xf>
    <xf numFmtId="0" fontId="2" fillId="0" borderId="7" xfId="1" applyFont="1" applyFill="1" applyBorder="1" applyAlignment="1">
      <alignment horizontal="left" vertical="center"/>
    </xf>
    <xf numFmtId="0" fontId="2" fillId="0" borderId="7" xfId="2" applyFont="1" applyFill="1" applyBorder="1" applyAlignment="1">
      <alignment horizontal="left" vertical="center"/>
    </xf>
    <xf numFmtId="0" fontId="5" fillId="0" borderId="5" xfId="1" applyNumberFormat="1" applyFont="1" applyFill="1" applyBorder="1" applyAlignment="1">
      <alignment vertical="center"/>
    </xf>
    <xf numFmtId="0" fontId="2" fillId="0" borderId="5" xfId="2" applyFont="1" applyFill="1" applyBorder="1" applyAlignment="1">
      <alignment horizontal="left" vertical="center"/>
    </xf>
    <xf numFmtId="49" fontId="2" fillId="0" borderId="9" xfId="1" applyNumberFormat="1" applyFont="1" applyFill="1" applyBorder="1" applyAlignment="1">
      <alignment horizontal="center" vertical="center"/>
    </xf>
    <xf numFmtId="0" fontId="2" fillId="0" borderId="9" xfId="1" applyFont="1" applyFill="1" applyBorder="1" applyAlignment="1">
      <alignment vertical="center"/>
    </xf>
    <xf numFmtId="0" fontId="2" fillId="0" borderId="9" xfId="2" applyFont="1" applyFill="1" applyBorder="1" applyAlignment="1">
      <alignment vertical="center"/>
    </xf>
    <xf numFmtId="49" fontId="2" fillId="0" borderId="5" xfId="1" applyNumberFormat="1" applyFont="1" applyFill="1" applyBorder="1" applyAlignment="1">
      <alignment horizontal="center" vertical="center"/>
    </xf>
    <xf numFmtId="0" fontId="2" fillId="0" borderId="5" xfId="2" applyFont="1" applyFill="1" applyBorder="1" applyAlignment="1">
      <alignment vertical="center"/>
    </xf>
    <xf numFmtId="49" fontId="2" fillId="3" borderId="9" xfId="1" applyNumberFormat="1" applyFont="1" applyFill="1" applyBorder="1" applyAlignment="1">
      <alignment horizontal="center" vertical="center"/>
    </xf>
    <xf numFmtId="165" fontId="2" fillId="0" borderId="5" xfId="1" applyNumberFormat="1" applyFont="1" applyFill="1" applyBorder="1" applyAlignment="1">
      <alignment vertical="center"/>
    </xf>
    <xf numFmtId="0" fontId="5" fillId="0" borderId="5" xfId="1" applyFont="1" applyFill="1" applyBorder="1" applyAlignment="1">
      <alignment horizontal="left" vertical="center"/>
    </xf>
    <xf numFmtId="0" fontId="3" fillId="0" borderId="9" xfId="2" applyFont="1" applyFill="1" applyBorder="1" applyAlignment="1">
      <alignment vertical="center"/>
    </xf>
    <xf numFmtId="0" fontId="0" fillId="0" borderId="5" xfId="0" applyBorder="1"/>
    <xf numFmtId="0" fontId="2" fillId="0" borderId="5" xfId="1" applyFont="1" applyFill="1" applyBorder="1" applyAlignment="1">
      <alignment horizontal="left" vertical="center"/>
    </xf>
    <xf numFmtId="0" fontId="3" fillId="0" borderId="9" xfId="2" applyFont="1" applyFill="1" applyBorder="1" applyAlignment="1">
      <alignment horizontal="left" vertical="center"/>
    </xf>
    <xf numFmtId="0" fontId="9" fillId="0" borderId="5" xfId="0" applyFont="1" applyBorder="1"/>
    <xf numFmtId="164" fontId="9" fillId="0" borderId="7" xfId="0" applyNumberFormat="1" applyFont="1" applyBorder="1" applyAlignment="1">
      <alignment horizontal="left"/>
    </xf>
    <xf numFmtId="164" fontId="9" fillId="0" borderId="5" xfId="0" applyNumberFormat="1" applyFont="1" applyBorder="1" applyAlignment="1">
      <alignment horizontal="left"/>
    </xf>
    <xf numFmtId="1" fontId="9" fillId="0" borderId="9" xfId="0" applyNumberFormat="1" applyFont="1" applyBorder="1" applyAlignment="1">
      <alignment horizontal="center" vertical="center" wrapText="1"/>
    </xf>
    <xf numFmtId="0" fontId="0" fillId="0" borderId="9" xfId="0" applyBorder="1" applyAlignment="1">
      <alignment vertical="center" wrapText="1"/>
    </xf>
    <xf numFmtId="0" fontId="9" fillId="0" borderId="9" xfId="0" applyFont="1" applyBorder="1" applyAlignment="1">
      <alignment horizontal="left" vertical="center" wrapText="1"/>
    </xf>
    <xf numFmtId="0" fontId="0" fillId="0" borderId="6" xfId="0" applyBorder="1" applyAlignment="1">
      <alignment horizontal="left"/>
    </xf>
    <xf numFmtId="0" fontId="2" fillId="0" borderId="11" xfId="2" applyFont="1" applyFill="1" applyBorder="1" applyAlignment="1">
      <alignment vertical="center"/>
    </xf>
    <xf numFmtId="0" fontId="2" fillId="0" borderId="1" xfId="2" applyFont="1" applyFill="1" applyBorder="1" applyAlignment="1">
      <alignment vertical="center"/>
    </xf>
    <xf numFmtId="1" fontId="9" fillId="0" borderId="6" xfId="0" applyNumberFormat="1" applyFont="1" applyBorder="1" applyAlignment="1">
      <alignment horizontal="center"/>
    </xf>
    <xf numFmtId="0" fontId="10" fillId="0" borderId="6" xfId="1" applyFont="1" applyFill="1" applyBorder="1" applyAlignment="1">
      <alignment horizontal="left" vertical="center"/>
    </xf>
    <xf numFmtId="0" fontId="2" fillId="0" borderId="11" xfId="1" applyFont="1" applyFill="1" applyBorder="1" applyAlignment="1">
      <alignment horizontal="center" vertical="center"/>
    </xf>
    <xf numFmtId="49" fontId="2" fillId="0" borderId="11" xfId="1" applyNumberFormat="1" applyFont="1" applyFill="1" applyBorder="1" applyAlignment="1">
      <alignment horizontal="center" vertical="center"/>
    </xf>
    <xf numFmtId="0" fontId="2" fillId="0" borderId="11" xfId="1" applyFont="1" applyFill="1" applyBorder="1" applyAlignment="1">
      <alignment vertical="center"/>
    </xf>
    <xf numFmtId="0" fontId="5" fillId="0" borderId="10" xfId="1" applyFont="1" applyFill="1" applyBorder="1" applyAlignment="1">
      <alignment vertical="center"/>
    </xf>
    <xf numFmtId="0" fontId="2" fillId="3" borderId="11" xfId="1" applyFont="1" applyFill="1" applyBorder="1" applyAlignment="1">
      <alignment horizontal="center" vertical="center"/>
    </xf>
    <xf numFmtId="0" fontId="2" fillId="0" borderId="11" xfId="0" applyFont="1" applyBorder="1" applyAlignment="1">
      <alignment horizontal="center"/>
    </xf>
    <xf numFmtId="0" fontId="0" fillId="3" borderId="0" xfId="0" applyFill="1"/>
    <xf numFmtId="0" fontId="8" fillId="3" borderId="0" xfId="0" applyFont="1" applyFill="1"/>
    <xf numFmtId="0" fontId="0" fillId="0" borderId="0" xfId="0" applyBorder="1"/>
    <xf numFmtId="0" fontId="2" fillId="3" borderId="7" xfId="1" applyFont="1" applyFill="1" applyBorder="1" applyAlignment="1">
      <alignment horizontal="center" vertical="center"/>
    </xf>
    <xf numFmtId="0" fontId="2" fillId="0" borderId="7" xfId="0" applyFont="1" applyBorder="1" applyAlignment="1">
      <alignment horizontal="center"/>
    </xf>
    <xf numFmtId="0" fontId="2" fillId="0" borderId="11" xfId="1" applyFont="1" applyFill="1" applyBorder="1" applyAlignment="1">
      <alignment horizontal="left" vertical="center"/>
    </xf>
    <xf numFmtId="0" fontId="0" fillId="0" borderId="7" xfId="0" applyBorder="1"/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 wrapText="1"/>
    </xf>
    <xf numFmtId="0" fontId="11" fillId="5" borderId="12" xfId="0" applyFont="1" applyFill="1" applyBorder="1" applyAlignment="1">
      <alignment horizontal="center" vertical="center"/>
    </xf>
    <xf numFmtId="0" fontId="11" fillId="5" borderId="12" xfId="0" applyFont="1" applyFill="1" applyBorder="1" applyAlignment="1">
      <alignment horizontal="center" vertical="center" wrapText="1"/>
    </xf>
    <xf numFmtId="0" fontId="13" fillId="5" borderId="18" xfId="0" applyFont="1" applyFill="1" applyBorder="1" applyAlignment="1">
      <alignment horizontal="center" vertical="center"/>
    </xf>
    <xf numFmtId="0" fontId="13" fillId="5" borderId="14" xfId="0" applyFont="1" applyFill="1" applyBorder="1" applyAlignment="1">
      <alignment horizontal="center" vertical="center"/>
    </xf>
    <xf numFmtId="0" fontId="13" fillId="5" borderId="19" xfId="0" applyFont="1" applyFill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2" fillId="0" borderId="11" xfId="2" applyFont="1" applyFill="1" applyBorder="1" applyAlignment="1">
      <alignment horizontal="left" vertical="center"/>
    </xf>
    <xf numFmtId="1" fontId="9" fillId="0" borderId="7" xfId="0" applyNumberFormat="1" applyFont="1" applyBorder="1" applyAlignment="1">
      <alignment horizontal="center"/>
    </xf>
    <xf numFmtId="0" fontId="3" fillId="4" borderId="1" xfId="1" applyFont="1" applyFill="1" applyBorder="1" applyAlignment="1">
      <alignment horizontal="center" vertical="center"/>
    </xf>
    <xf numFmtId="0" fontId="3" fillId="4" borderId="2" xfId="1" applyFont="1" applyFill="1" applyBorder="1" applyAlignment="1">
      <alignment horizontal="center" vertical="center"/>
    </xf>
    <xf numFmtId="0" fontId="3" fillId="4" borderId="3" xfId="1" applyFont="1" applyFill="1" applyBorder="1" applyAlignment="1">
      <alignment horizontal="center" vertical="center"/>
    </xf>
    <xf numFmtId="164" fontId="3" fillId="4" borderId="4" xfId="2" applyNumberFormat="1" applyFont="1" applyFill="1" applyBorder="1" applyAlignment="1">
      <alignment horizontal="center" vertical="center"/>
    </xf>
    <xf numFmtId="0" fontId="6" fillId="0" borderId="8" xfId="0" applyFont="1" applyBorder="1" applyAlignment="1">
      <alignment horizontal="center"/>
    </xf>
    <xf numFmtId="0" fontId="5" fillId="0" borderId="4" xfId="1" applyFont="1" applyFill="1" applyBorder="1" applyAlignment="1">
      <alignment horizontal="center" vertical="center"/>
    </xf>
    <xf numFmtId="0" fontId="5" fillId="0" borderId="5" xfId="1" applyFont="1" applyFill="1" applyBorder="1" applyAlignment="1">
      <alignment horizontal="center" vertical="center"/>
    </xf>
    <xf numFmtId="0" fontId="5" fillId="0" borderId="10" xfId="1" applyFont="1" applyFill="1" applyBorder="1" applyAlignment="1">
      <alignment horizontal="center" vertical="center"/>
    </xf>
    <xf numFmtId="0" fontId="5" fillId="0" borderId="9" xfId="1" applyFont="1" applyFill="1" applyBorder="1" applyAlignment="1">
      <alignment horizontal="center" vertical="center"/>
    </xf>
    <xf numFmtId="0" fontId="5" fillId="0" borderId="6" xfId="1" applyFont="1" applyFill="1" applyBorder="1" applyAlignment="1">
      <alignment horizontal="center" vertical="center"/>
    </xf>
    <xf numFmtId="0" fontId="5" fillId="0" borderId="7" xfId="1" applyFont="1" applyFill="1" applyBorder="1" applyAlignment="1">
      <alignment horizontal="center" vertical="center"/>
    </xf>
    <xf numFmtId="0" fontId="5" fillId="0" borderId="4" xfId="1" applyFont="1" applyFill="1" applyBorder="1" applyAlignment="1">
      <alignment horizontal="center" vertical="center" wrapText="1"/>
    </xf>
    <xf numFmtId="0" fontId="5" fillId="0" borderId="5" xfId="1" applyFont="1" applyFill="1" applyBorder="1" applyAlignment="1">
      <alignment horizontal="center" vertical="center" wrapText="1"/>
    </xf>
    <xf numFmtId="0" fontId="5" fillId="0" borderId="11" xfId="1" applyFont="1" applyFill="1" applyBorder="1" applyAlignment="1">
      <alignment horizontal="center" vertical="center"/>
    </xf>
    <xf numFmtId="0" fontId="5" fillId="0" borderId="10" xfId="1" applyFont="1" applyFill="1" applyBorder="1" applyAlignment="1">
      <alignment horizontal="center" vertical="center" wrapText="1"/>
    </xf>
    <xf numFmtId="0" fontId="5" fillId="0" borderId="6" xfId="1" applyFont="1" applyFill="1" applyBorder="1" applyAlignment="1">
      <alignment horizontal="center" vertical="center" wrapText="1"/>
    </xf>
    <xf numFmtId="0" fontId="5" fillId="0" borderId="7" xfId="1" applyFont="1" applyFill="1" applyBorder="1" applyAlignment="1">
      <alignment horizontal="center" vertical="center" wrapText="1"/>
    </xf>
    <xf numFmtId="0" fontId="12" fillId="0" borderId="0" xfId="0" applyFont="1" applyAlignment="1">
      <alignment horizontal="center" vertical="center"/>
    </xf>
    <xf numFmtId="0" fontId="11" fillId="5" borderId="15" xfId="0" applyFont="1" applyFill="1" applyBorder="1" applyAlignment="1">
      <alignment horizontal="center" vertical="center" wrapText="1"/>
    </xf>
    <xf numFmtId="0" fontId="11" fillId="5" borderId="16" xfId="0" applyFont="1" applyFill="1" applyBorder="1" applyAlignment="1">
      <alignment horizontal="center" vertical="center" wrapText="1"/>
    </xf>
    <xf numFmtId="164" fontId="12" fillId="0" borderId="18" xfId="0" applyNumberFormat="1" applyFont="1" applyBorder="1" applyAlignment="1">
      <alignment horizontal="center" vertical="center"/>
    </xf>
    <xf numFmtId="164" fontId="12" fillId="0" borderId="20" xfId="0" applyNumberFormat="1" applyFont="1" applyBorder="1" applyAlignment="1">
      <alignment horizontal="center" vertical="center"/>
    </xf>
    <xf numFmtId="0" fontId="3" fillId="4" borderId="4" xfId="2" applyFont="1" applyFill="1" applyBorder="1" applyAlignment="1">
      <alignment horizontal="center" vertical="center"/>
    </xf>
    <xf numFmtId="166" fontId="3" fillId="4" borderId="4" xfId="2" applyNumberFormat="1" applyFont="1" applyFill="1" applyBorder="1" applyAlignment="1">
      <alignment horizontal="left"/>
    </xf>
    <xf numFmtId="0" fontId="5" fillId="0" borderId="9" xfId="1" applyFont="1" applyFill="1" applyBorder="1" applyAlignment="1">
      <alignment horizontal="center" vertical="top" wrapText="1"/>
    </xf>
    <xf numFmtId="0" fontId="5" fillId="0" borderId="9" xfId="1" applyFont="1" applyFill="1" applyBorder="1" applyAlignment="1">
      <alignment horizontal="left" vertical="top" wrapText="1"/>
    </xf>
    <xf numFmtId="0" fontId="0" fillId="0" borderId="0" xfId="0" applyAlignment="1">
      <alignment horizontal="center"/>
    </xf>
    <xf numFmtId="0" fontId="12" fillId="0" borderId="0" xfId="0" applyFont="1" applyAlignment="1">
      <alignment horizontal="center"/>
    </xf>
    <xf numFmtId="0" fontId="12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6" fillId="0" borderId="8" xfId="0" applyFont="1" applyBorder="1" applyAlignment="1">
      <alignment horizontal="center"/>
    </xf>
    <xf numFmtId="0" fontId="14" fillId="6" borderId="15" xfId="0" applyFont="1" applyFill="1" applyBorder="1" applyAlignment="1">
      <alignment horizontal="center" vertical="center" wrapText="1"/>
    </xf>
    <xf numFmtId="0" fontId="14" fillId="6" borderId="16" xfId="0" applyFont="1" applyFill="1" applyBorder="1" applyAlignment="1">
      <alignment horizontal="center" vertical="center" wrapText="1"/>
    </xf>
    <xf numFmtId="0" fontId="14" fillId="6" borderId="17" xfId="0" applyFont="1" applyFill="1" applyBorder="1" applyAlignment="1">
      <alignment horizontal="center" vertical="center" wrapText="1"/>
    </xf>
    <xf numFmtId="0" fontId="15" fillId="6" borderId="15" xfId="0" applyFont="1" applyFill="1" applyBorder="1" applyAlignment="1">
      <alignment horizontal="center" vertical="center" wrapText="1"/>
    </xf>
    <xf numFmtId="0" fontId="15" fillId="6" borderId="16" xfId="0" applyFont="1" applyFill="1" applyBorder="1" applyAlignment="1">
      <alignment horizontal="center" vertical="center" wrapText="1"/>
    </xf>
    <xf numFmtId="0" fontId="15" fillId="6" borderId="17" xfId="0" applyFont="1" applyFill="1" applyBorder="1" applyAlignment="1">
      <alignment horizontal="center" vertical="center" wrapText="1"/>
    </xf>
    <xf numFmtId="0" fontId="12" fillId="0" borderId="0" xfId="0" applyFont="1" applyAlignment="1">
      <alignment horizontal="center" vertical="center"/>
    </xf>
  </cellXfs>
  <cellStyles count="78">
    <cellStyle name="Comma 2" xfId="24"/>
    <cellStyle name="Comma 2 2" xfId="5"/>
    <cellStyle name="Comma 2 3" xfId="15"/>
    <cellStyle name="Normal" xfId="0" builtinId="0"/>
    <cellStyle name="Normal 10" xfId="32"/>
    <cellStyle name="Normal 11" xfId="31"/>
    <cellStyle name="Normal 12" xfId="29"/>
    <cellStyle name="Normal 13" xfId="33"/>
    <cellStyle name="Normal 14" xfId="34"/>
    <cellStyle name="Normal 15" xfId="35"/>
    <cellStyle name="Normal 16" xfId="36"/>
    <cellStyle name="Normal 17" xfId="37"/>
    <cellStyle name="Normal 18" xfId="38"/>
    <cellStyle name="Normal 19" xfId="39"/>
    <cellStyle name="Normal 2" xfId="3"/>
    <cellStyle name="Normal 2 2" xfId="6"/>
    <cellStyle name="Normal 2 2 2" xfId="7"/>
    <cellStyle name="Normal 2 2 3" xfId="17"/>
    <cellStyle name="Normal 2 3" xfId="8"/>
    <cellStyle name="Normal 2 3 2" xfId="18"/>
    <cellStyle name="Normal 2 4" xfId="9"/>
    <cellStyle name="Normal 2 4 2" xfId="19"/>
    <cellStyle name="Normal 2 5" xfId="10"/>
    <cellStyle name="Normal 2 5 2" xfId="20"/>
    <cellStyle name="Normal 2 6" xfId="11"/>
    <cellStyle name="Normal 2 6 2" xfId="21"/>
    <cellStyle name="Normal 2 7" xfId="16"/>
    <cellStyle name="Normal 2 8" xfId="25"/>
    <cellStyle name="Normal 20" xfId="40"/>
    <cellStyle name="Normal 21" xfId="41"/>
    <cellStyle name="Normal 22" xfId="42"/>
    <cellStyle name="Normal 23" xfId="43"/>
    <cellStyle name="Normal 24" xfId="44"/>
    <cellStyle name="Normal 25" xfId="45"/>
    <cellStyle name="Normal 26" xfId="46"/>
    <cellStyle name="Normal 27" xfId="47"/>
    <cellStyle name="Normal 28" xfId="48"/>
    <cellStyle name="Normal 29" xfId="49"/>
    <cellStyle name="Normal 3" xfId="4"/>
    <cellStyle name="Normal 3 2" xfId="14"/>
    <cellStyle name="Normal 30" xfId="50"/>
    <cellStyle name="Normal 31" xfId="51"/>
    <cellStyle name="Normal 32" xfId="52"/>
    <cellStyle name="Normal 33" xfId="53"/>
    <cellStyle name="Normal 34" xfId="54"/>
    <cellStyle name="Normal 35" xfId="55"/>
    <cellStyle name="Normal 36" xfId="56"/>
    <cellStyle name="Normal 37" xfId="57"/>
    <cellStyle name="Normal 38" xfId="58"/>
    <cellStyle name="Normal 39" xfId="59"/>
    <cellStyle name="Normal 4" xfId="12"/>
    <cellStyle name="Normal 4 2" xfId="22"/>
    <cellStyle name="Normal 40" xfId="60"/>
    <cellStyle name="Normal 41" xfId="61"/>
    <cellStyle name="Normal 42" xfId="62"/>
    <cellStyle name="Normal 43" xfId="63"/>
    <cellStyle name="Normal 44" xfId="64"/>
    <cellStyle name="Normal 45" xfId="65"/>
    <cellStyle name="Normal 46" xfId="66"/>
    <cellStyle name="Normal 47" xfId="67"/>
    <cellStyle name="Normal 48" xfId="68"/>
    <cellStyle name="Normal 49" xfId="69"/>
    <cellStyle name="Normal 5" xfId="13"/>
    <cellStyle name="Normal 5 2" xfId="23"/>
    <cellStyle name="Normal 50" xfId="70"/>
    <cellStyle name="Normal 51" xfId="71"/>
    <cellStyle name="Normal 52" xfId="72"/>
    <cellStyle name="Normal 53" xfId="73"/>
    <cellStyle name="Normal 54" xfId="74"/>
    <cellStyle name="Normal 55" xfId="75"/>
    <cellStyle name="Normal 56" xfId="76"/>
    <cellStyle name="Normal 57" xfId="77"/>
    <cellStyle name="Normal 6" xfId="26"/>
    <cellStyle name="Normal 7" xfId="28"/>
    <cellStyle name="Normal 8" xfId="30"/>
    <cellStyle name="Normal 9" xfId="27"/>
    <cellStyle name="Normal_List of contract update" xfId="2"/>
    <cellStyle name="Normal_List update 20 Feb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3</xdr:row>
          <xdr:rowOff>47625</xdr:rowOff>
        </xdr:from>
        <xdr:to>
          <xdr:col>1</xdr:col>
          <xdr:colOff>419100</xdr:colOff>
          <xdr:row>3</xdr:row>
          <xdr:rowOff>285750</xdr:rowOff>
        </xdr:to>
        <xdr:sp macro="" textlink="">
          <xdr:nvSpPr>
            <xdr:cNvPr id="3073" name="ComboBox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229"/>
  <sheetViews>
    <sheetView zoomScale="130" zoomScaleNormal="130" workbookViewId="0">
      <pane xSplit="7" ySplit="2" topLeftCell="H3" activePane="bottomRight" state="frozen"/>
      <selection pane="topRight" activeCell="H1" sqref="H1"/>
      <selection pane="bottomLeft" activeCell="A3" sqref="A3"/>
      <selection pane="bottomRight" activeCell="E11" sqref="E11"/>
    </sheetView>
  </sheetViews>
  <sheetFormatPr defaultRowHeight="15"/>
  <cols>
    <col min="1" max="1" width="14.42578125" customWidth="1"/>
    <col min="2" max="2" width="5.140625" customWidth="1"/>
    <col min="3" max="3" width="6.28515625" customWidth="1"/>
    <col min="4" max="4" width="26.85546875" customWidth="1"/>
    <col min="5" max="5" width="29" bestFit="1" customWidth="1"/>
    <col min="6" max="6" width="18.42578125" bestFit="1" customWidth="1"/>
    <col min="7" max="7" width="17.5703125" bestFit="1" customWidth="1"/>
    <col min="8" max="8" width="24.5703125" customWidth="1"/>
    <col min="9" max="10" width="17.5703125" bestFit="1" customWidth="1"/>
  </cols>
  <sheetData>
    <row r="1" spans="1:10" ht="24.75" customHeight="1">
      <c r="A1" s="122" t="s">
        <v>288</v>
      </c>
      <c r="B1" s="122"/>
      <c r="C1" s="122"/>
      <c r="D1" s="122"/>
      <c r="E1" s="122"/>
      <c r="F1" s="122"/>
      <c r="G1" s="122"/>
      <c r="H1" s="96"/>
    </row>
    <row r="2" spans="1:10">
      <c r="A2" s="92" t="s">
        <v>0</v>
      </c>
      <c r="B2" s="93" t="s">
        <v>1</v>
      </c>
      <c r="C2" s="94"/>
      <c r="D2" s="92" t="s">
        <v>2</v>
      </c>
      <c r="E2" s="95" t="s">
        <v>119</v>
      </c>
      <c r="F2" s="95" t="s">
        <v>289</v>
      </c>
      <c r="G2" s="114" t="s">
        <v>120</v>
      </c>
      <c r="H2" s="115">
        <v>44124</v>
      </c>
      <c r="I2" s="115">
        <v>44125</v>
      </c>
      <c r="J2" s="115">
        <v>44126</v>
      </c>
    </row>
    <row r="3" spans="1:10">
      <c r="A3" s="27"/>
      <c r="B3" s="28"/>
      <c r="C3" s="29"/>
      <c r="D3" s="27"/>
      <c r="E3" s="27"/>
      <c r="F3" s="27"/>
      <c r="G3" s="27"/>
      <c r="H3" s="27"/>
      <c r="I3" s="27"/>
      <c r="J3" s="27"/>
    </row>
    <row r="4" spans="1:10">
      <c r="A4" s="32">
        <v>1</v>
      </c>
      <c r="B4" s="33" t="s">
        <v>3</v>
      </c>
      <c r="C4" s="34" t="s">
        <v>115</v>
      </c>
      <c r="D4" s="35" t="s">
        <v>116</v>
      </c>
      <c r="E4" s="36" t="s">
        <v>291</v>
      </c>
      <c r="F4" s="100" t="s">
        <v>290</v>
      </c>
      <c r="G4" s="37"/>
      <c r="H4" s="37"/>
      <c r="I4" s="37"/>
      <c r="J4" s="37"/>
    </row>
    <row r="5" spans="1:10">
      <c r="A5" s="1">
        <v>2</v>
      </c>
      <c r="B5" s="6" t="s">
        <v>3</v>
      </c>
      <c r="C5" s="30" t="s">
        <v>7</v>
      </c>
      <c r="D5" s="2" t="s">
        <v>8</v>
      </c>
      <c r="E5" s="2" t="s">
        <v>194</v>
      </c>
      <c r="F5" s="101"/>
      <c r="G5" s="3"/>
      <c r="H5" s="3" t="s">
        <v>409</v>
      </c>
      <c r="I5" s="3"/>
      <c r="J5" s="3"/>
    </row>
    <row r="6" spans="1:10">
      <c r="A6" s="1">
        <v>3</v>
      </c>
      <c r="B6" s="6" t="s">
        <v>3</v>
      </c>
      <c r="C6" s="16" t="s">
        <v>127</v>
      </c>
      <c r="D6" s="5" t="s">
        <v>126</v>
      </c>
      <c r="E6" s="2" t="s">
        <v>128</v>
      </c>
      <c r="F6" s="101"/>
      <c r="G6" s="3"/>
      <c r="H6" s="3"/>
      <c r="I6" s="3"/>
      <c r="J6" s="3"/>
    </row>
    <row r="7" spans="1:10">
      <c r="A7" s="1">
        <v>4</v>
      </c>
      <c r="B7" s="6" t="s">
        <v>3</v>
      </c>
      <c r="C7" s="16" t="s">
        <v>181</v>
      </c>
      <c r="D7" s="5" t="s">
        <v>180</v>
      </c>
      <c r="E7" s="2" t="s">
        <v>128</v>
      </c>
      <c r="F7" s="101"/>
      <c r="G7" s="3"/>
      <c r="H7" s="3"/>
      <c r="I7" s="3"/>
      <c r="J7" s="3"/>
    </row>
    <row r="8" spans="1:10">
      <c r="A8" s="7">
        <v>5</v>
      </c>
      <c r="B8" s="38" t="s">
        <v>3</v>
      </c>
      <c r="C8" s="39" t="s">
        <v>168</v>
      </c>
      <c r="D8" s="8" t="s">
        <v>167</v>
      </c>
      <c r="E8" s="40" t="s">
        <v>292</v>
      </c>
      <c r="F8" s="102"/>
      <c r="G8" s="41"/>
      <c r="H8" s="41"/>
      <c r="I8" s="41"/>
      <c r="J8" s="41"/>
    </row>
    <row r="9" spans="1:10">
      <c r="A9" s="20"/>
      <c r="B9" s="20"/>
      <c r="C9" s="42"/>
      <c r="D9" s="20"/>
      <c r="E9" s="20"/>
      <c r="F9" s="97"/>
      <c r="G9" s="43"/>
      <c r="H9" s="43"/>
      <c r="I9" s="43"/>
      <c r="J9" s="43"/>
    </row>
    <row r="10" spans="1:10">
      <c r="A10" s="32">
        <f>ROW()-4</f>
        <v>6</v>
      </c>
      <c r="B10" s="33" t="s">
        <v>3</v>
      </c>
      <c r="C10" s="44" t="s">
        <v>11</v>
      </c>
      <c r="D10" s="45" t="s">
        <v>12</v>
      </c>
      <c r="E10" s="45" t="s">
        <v>295</v>
      </c>
      <c r="F10" s="97" t="s">
        <v>398</v>
      </c>
      <c r="G10" s="46"/>
      <c r="H10" s="46"/>
      <c r="I10" s="46"/>
      <c r="J10" s="46"/>
    </row>
    <row r="11" spans="1:10">
      <c r="A11" s="1">
        <f t="shared" ref="A11:A12" si="0">ROW()-4</f>
        <v>7</v>
      </c>
      <c r="B11" s="6" t="s">
        <v>3</v>
      </c>
      <c r="C11" s="16" t="s">
        <v>9</v>
      </c>
      <c r="D11" s="5" t="s">
        <v>10</v>
      </c>
      <c r="E11" s="5" t="s">
        <v>296</v>
      </c>
      <c r="F11" s="98"/>
      <c r="G11" s="4"/>
      <c r="H11" s="4" t="s">
        <v>409</v>
      </c>
      <c r="I11" s="4"/>
      <c r="J11" s="4"/>
    </row>
    <row r="12" spans="1:10">
      <c r="A12" s="1">
        <f t="shared" si="0"/>
        <v>8</v>
      </c>
      <c r="B12" s="67" t="s">
        <v>3</v>
      </c>
      <c r="C12" s="68" t="s">
        <v>329</v>
      </c>
      <c r="D12" s="69" t="s">
        <v>327</v>
      </c>
      <c r="E12" s="69" t="s">
        <v>328</v>
      </c>
      <c r="F12" s="98"/>
      <c r="G12" s="63"/>
      <c r="H12" s="63"/>
      <c r="I12" s="63"/>
      <c r="J12" s="63"/>
    </row>
    <row r="13" spans="1:10">
      <c r="A13" s="7">
        <f>ROW()-4</f>
        <v>9</v>
      </c>
      <c r="B13" s="38" t="s">
        <v>3</v>
      </c>
      <c r="C13" s="39" t="s">
        <v>340</v>
      </c>
      <c r="D13" s="8" t="s">
        <v>341</v>
      </c>
      <c r="E13" s="8" t="s">
        <v>342</v>
      </c>
      <c r="F13" s="99"/>
      <c r="G13" s="9"/>
      <c r="H13" s="9"/>
      <c r="I13" s="9"/>
      <c r="J13" s="9"/>
    </row>
    <row r="14" spans="1:10">
      <c r="A14" s="22"/>
      <c r="B14" s="21"/>
      <c r="C14" s="47"/>
      <c r="D14" s="19"/>
      <c r="E14" s="19"/>
      <c r="F14" s="64"/>
      <c r="G14" s="48"/>
      <c r="H14" s="48"/>
      <c r="I14" s="48"/>
      <c r="J14" s="48"/>
    </row>
    <row r="15" spans="1:10">
      <c r="A15" s="32">
        <f>ROW()-5</f>
        <v>10</v>
      </c>
      <c r="B15" s="33" t="s">
        <v>3</v>
      </c>
      <c r="C15" s="49" t="s">
        <v>121</v>
      </c>
      <c r="D15" s="45" t="s">
        <v>122</v>
      </c>
      <c r="E15" s="45" t="s">
        <v>294</v>
      </c>
      <c r="F15" s="100" t="s">
        <v>293</v>
      </c>
      <c r="G15" s="46"/>
      <c r="H15" s="46"/>
      <c r="I15" s="46"/>
      <c r="J15" s="46"/>
    </row>
    <row r="16" spans="1:10">
      <c r="A16" s="1">
        <f>ROW()-5</f>
        <v>11</v>
      </c>
      <c r="B16" s="6" t="s">
        <v>3</v>
      </c>
      <c r="C16" s="31" t="s">
        <v>160</v>
      </c>
      <c r="D16" s="14" t="s">
        <v>159</v>
      </c>
      <c r="E16" s="5" t="s">
        <v>138</v>
      </c>
      <c r="F16" s="101"/>
      <c r="G16" s="4"/>
      <c r="H16" s="4"/>
      <c r="I16" s="4" t="s">
        <v>395</v>
      </c>
      <c r="J16" s="4"/>
    </row>
    <row r="17" spans="1:10">
      <c r="A17" s="1">
        <f t="shared" ref="A17:A20" si="1">ROW()-5</f>
        <v>12</v>
      </c>
      <c r="B17" s="6" t="s">
        <v>3</v>
      </c>
      <c r="C17" s="31" t="s">
        <v>185</v>
      </c>
      <c r="D17" s="14" t="s">
        <v>186</v>
      </c>
      <c r="E17" s="3" t="s">
        <v>187</v>
      </c>
      <c r="F17" s="101"/>
      <c r="G17" s="4"/>
      <c r="H17" s="4"/>
      <c r="I17" s="3"/>
      <c r="J17" s="4"/>
    </row>
    <row r="18" spans="1:10">
      <c r="A18" s="1">
        <f t="shared" si="1"/>
        <v>13</v>
      </c>
      <c r="B18" s="6" t="s">
        <v>3</v>
      </c>
      <c r="C18" s="16" t="s">
        <v>253</v>
      </c>
      <c r="D18" s="5" t="s">
        <v>254</v>
      </c>
      <c r="E18" s="3" t="s">
        <v>118</v>
      </c>
      <c r="F18" s="101"/>
      <c r="G18" s="4"/>
      <c r="H18" s="4"/>
      <c r="I18" s="4" t="s">
        <v>383</v>
      </c>
      <c r="J18" s="4"/>
    </row>
    <row r="19" spans="1:10">
      <c r="A19" s="1">
        <f t="shared" si="1"/>
        <v>14</v>
      </c>
      <c r="B19" s="6" t="s">
        <v>3</v>
      </c>
      <c r="C19" s="16" t="s">
        <v>279</v>
      </c>
      <c r="D19" s="5" t="s">
        <v>284</v>
      </c>
      <c r="E19" s="3" t="s">
        <v>123</v>
      </c>
      <c r="F19" s="101"/>
      <c r="G19" s="4"/>
      <c r="H19" s="4"/>
      <c r="I19" s="90"/>
      <c r="J19" s="4"/>
    </row>
    <row r="20" spans="1:10">
      <c r="A20" s="1">
        <f t="shared" si="1"/>
        <v>15</v>
      </c>
      <c r="B20" s="6" t="s">
        <v>3</v>
      </c>
      <c r="C20" s="16" t="s">
        <v>331</v>
      </c>
      <c r="D20" s="13" t="s">
        <v>330</v>
      </c>
      <c r="E20" s="3" t="s">
        <v>123</v>
      </c>
      <c r="F20" s="105"/>
      <c r="G20" s="63"/>
      <c r="H20" s="63"/>
      <c r="I20" s="4" t="s">
        <v>382</v>
      </c>
      <c r="J20" s="63"/>
    </row>
    <row r="21" spans="1:10">
      <c r="A21" s="7">
        <f>ROW()-5</f>
        <v>16</v>
      </c>
      <c r="B21" s="38" t="s">
        <v>3</v>
      </c>
      <c r="C21" s="39" t="s">
        <v>285</v>
      </c>
      <c r="D21" s="8" t="s">
        <v>286</v>
      </c>
      <c r="E21" s="41" t="s">
        <v>287</v>
      </c>
      <c r="F21" s="102"/>
      <c r="G21" s="9"/>
      <c r="H21" s="9"/>
      <c r="I21" s="9"/>
      <c r="J21" s="9"/>
    </row>
    <row r="22" spans="1:10">
      <c r="A22" s="22"/>
      <c r="B22" s="21"/>
      <c r="C22" s="47"/>
      <c r="D22" s="19"/>
      <c r="E22" s="43"/>
      <c r="F22" s="19"/>
      <c r="G22" s="48"/>
      <c r="H22" s="48"/>
      <c r="I22" s="48"/>
      <c r="J22" s="48"/>
    </row>
    <row r="23" spans="1:10">
      <c r="A23" s="32">
        <f>ROW()-6</f>
        <v>17</v>
      </c>
      <c r="B23" s="33" t="s">
        <v>3</v>
      </c>
      <c r="C23" s="44" t="s">
        <v>13</v>
      </c>
      <c r="D23" s="45" t="s">
        <v>14</v>
      </c>
      <c r="E23" s="46" t="s">
        <v>133</v>
      </c>
      <c r="F23" s="100" t="s">
        <v>376</v>
      </c>
      <c r="G23" s="46"/>
      <c r="H23" s="46" t="s">
        <v>381</v>
      </c>
      <c r="I23" s="46"/>
      <c r="J23" s="46"/>
    </row>
    <row r="24" spans="1:10">
      <c r="A24" s="1">
        <f>ROW()-6</f>
        <v>18</v>
      </c>
      <c r="B24" s="6" t="s">
        <v>3</v>
      </c>
      <c r="C24" s="16" t="s">
        <v>18</v>
      </c>
      <c r="D24" s="5" t="s">
        <v>19</v>
      </c>
      <c r="E24" s="3" t="s">
        <v>117</v>
      </c>
      <c r="F24" s="101"/>
      <c r="G24" s="3"/>
      <c r="H24" s="3" t="s">
        <v>381</v>
      </c>
      <c r="I24" s="3"/>
      <c r="J24" s="3"/>
    </row>
    <row r="25" spans="1:10">
      <c r="A25" s="1">
        <f t="shared" ref="A25:A30" si="2">ROW()-6</f>
        <v>19</v>
      </c>
      <c r="B25" s="6" t="s">
        <v>3</v>
      </c>
      <c r="C25" s="31" t="s">
        <v>174</v>
      </c>
      <c r="D25" s="14" t="s">
        <v>175</v>
      </c>
      <c r="E25" s="3" t="s">
        <v>15</v>
      </c>
      <c r="F25" s="101"/>
      <c r="G25" s="3"/>
      <c r="H25" s="3" t="s">
        <v>410</v>
      </c>
      <c r="I25" s="3"/>
      <c r="J25" s="3"/>
    </row>
    <row r="26" spans="1:10">
      <c r="A26" s="1">
        <f t="shared" si="2"/>
        <v>20</v>
      </c>
      <c r="B26" s="6" t="s">
        <v>3</v>
      </c>
      <c r="C26" s="16" t="s">
        <v>40</v>
      </c>
      <c r="D26" s="4" t="s">
        <v>41</v>
      </c>
      <c r="E26" s="3" t="s">
        <v>326</v>
      </c>
      <c r="F26" s="101"/>
      <c r="G26" s="3"/>
      <c r="H26" s="4" t="s">
        <v>395</v>
      </c>
      <c r="I26" s="3"/>
      <c r="J26" s="3"/>
    </row>
    <row r="27" spans="1:10">
      <c r="A27" s="1">
        <f t="shared" si="2"/>
        <v>21</v>
      </c>
      <c r="B27" s="6" t="s">
        <v>3</v>
      </c>
      <c r="C27" s="16" t="s">
        <v>56</v>
      </c>
      <c r="D27" s="2" t="s">
        <v>57</v>
      </c>
      <c r="E27" s="3" t="s">
        <v>15</v>
      </c>
      <c r="F27" s="101"/>
      <c r="G27" s="3"/>
      <c r="H27" s="4" t="s">
        <v>382</v>
      </c>
      <c r="I27" s="3"/>
      <c r="J27" s="3"/>
    </row>
    <row r="28" spans="1:10">
      <c r="A28" s="1">
        <f t="shared" si="2"/>
        <v>22</v>
      </c>
      <c r="B28" s="6" t="s">
        <v>3</v>
      </c>
      <c r="C28" s="16">
        <v>2696</v>
      </c>
      <c r="D28" s="2" t="s">
        <v>58</v>
      </c>
      <c r="E28" s="3" t="s">
        <v>15</v>
      </c>
      <c r="F28" s="101"/>
      <c r="G28" s="3"/>
      <c r="H28" s="4" t="s">
        <v>383</v>
      </c>
      <c r="I28" s="3"/>
      <c r="J28" s="3"/>
    </row>
    <row r="29" spans="1:10">
      <c r="A29" s="1">
        <f t="shared" si="2"/>
        <v>23</v>
      </c>
      <c r="B29" s="6" t="s">
        <v>3</v>
      </c>
      <c r="C29" s="16" t="s">
        <v>91</v>
      </c>
      <c r="D29" s="5" t="s">
        <v>92</v>
      </c>
      <c r="E29" s="5" t="s">
        <v>388</v>
      </c>
      <c r="F29" s="105"/>
      <c r="G29" s="90"/>
      <c r="H29" s="4" t="s">
        <v>404</v>
      </c>
      <c r="I29" s="90"/>
      <c r="J29" s="90"/>
    </row>
    <row r="30" spans="1:10">
      <c r="A30" s="1">
        <f t="shared" si="2"/>
        <v>24</v>
      </c>
      <c r="B30" s="67" t="s">
        <v>3</v>
      </c>
      <c r="C30" s="68" t="s">
        <v>16</v>
      </c>
      <c r="D30" s="78" t="s">
        <v>17</v>
      </c>
      <c r="E30" s="90" t="s">
        <v>386</v>
      </c>
      <c r="F30" s="105"/>
      <c r="G30" s="90"/>
      <c r="H30" s="4" t="s">
        <v>382</v>
      </c>
      <c r="I30" s="90"/>
      <c r="J30" s="90"/>
    </row>
    <row r="31" spans="1:10">
      <c r="A31" s="7">
        <f>ROW()-6</f>
        <v>25</v>
      </c>
      <c r="B31" s="38" t="s">
        <v>3</v>
      </c>
      <c r="C31" s="39" t="s">
        <v>52</v>
      </c>
      <c r="D31" s="40" t="s">
        <v>53</v>
      </c>
      <c r="E31" s="41" t="s">
        <v>15</v>
      </c>
      <c r="F31" s="102"/>
      <c r="G31" s="41"/>
      <c r="H31" s="41" t="s">
        <v>382</v>
      </c>
      <c r="I31" s="41"/>
      <c r="J31" s="41"/>
    </row>
    <row r="32" spans="1:10">
      <c r="A32" s="22"/>
      <c r="B32" s="21"/>
      <c r="C32" s="47"/>
      <c r="D32" s="19"/>
      <c r="E32" s="50"/>
      <c r="F32" s="19"/>
      <c r="G32" s="43"/>
      <c r="H32" s="43"/>
      <c r="I32" s="43"/>
      <c r="J32" s="43"/>
    </row>
    <row r="33" spans="1:10">
      <c r="A33" s="32">
        <f>ROW()-7</f>
        <v>26</v>
      </c>
      <c r="B33" s="33" t="s">
        <v>3</v>
      </c>
      <c r="C33" s="44" t="s">
        <v>28</v>
      </c>
      <c r="D33" s="45" t="s">
        <v>29</v>
      </c>
      <c r="E33" s="46" t="s">
        <v>27</v>
      </c>
      <c r="F33" s="97" t="s">
        <v>297</v>
      </c>
      <c r="G33" s="46"/>
      <c r="H33" s="46" t="s">
        <v>382</v>
      </c>
      <c r="I33" s="46"/>
      <c r="J33" s="46"/>
    </row>
    <row r="34" spans="1:10">
      <c r="A34" s="1">
        <f>ROW()-7</f>
        <v>27</v>
      </c>
      <c r="B34" s="6" t="s">
        <v>3</v>
      </c>
      <c r="C34" s="16" t="s">
        <v>30</v>
      </c>
      <c r="D34" s="5" t="s">
        <v>31</v>
      </c>
      <c r="E34" s="4" t="s">
        <v>27</v>
      </c>
      <c r="F34" s="98"/>
      <c r="G34" s="4"/>
      <c r="H34" s="4" t="s">
        <v>381</v>
      </c>
      <c r="I34" s="4" t="s">
        <v>382</v>
      </c>
      <c r="J34" s="4"/>
    </row>
    <row r="35" spans="1:10">
      <c r="A35" s="1">
        <f t="shared" ref="A35:A59" si="3">ROW()-7</f>
        <v>28</v>
      </c>
      <c r="B35" s="6" t="s">
        <v>3</v>
      </c>
      <c r="C35" s="16" t="s">
        <v>32</v>
      </c>
      <c r="D35" s="5" t="s">
        <v>33</v>
      </c>
      <c r="E35" s="4" t="s">
        <v>42</v>
      </c>
      <c r="F35" s="98"/>
      <c r="G35" s="4"/>
      <c r="H35" s="4" t="s">
        <v>381</v>
      </c>
      <c r="I35" s="4" t="s">
        <v>382</v>
      </c>
      <c r="J35" s="4"/>
    </row>
    <row r="36" spans="1:10">
      <c r="A36" s="1">
        <f t="shared" si="3"/>
        <v>29</v>
      </c>
      <c r="B36" s="6" t="s">
        <v>3</v>
      </c>
      <c r="C36" s="16" t="s">
        <v>34</v>
      </c>
      <c r="D36" s="2" t="s">
        <v>35</v>
      </c>
      <c r="E36" s="4" t="s">
        <v>27</v>
      </c>
      <c r="F36" s="98"/>
      <c r="G36" s="4"/>
      <c r="H36" s="4" t="s">
        <v>382</v>
      </c>
      <c r="I36" s="4" t="s">
        <v>382</v>
      </c>
      <c r="J36" s="4"/>
    </row>
    <row r="37" spans="1:10">
      <c r="A37" s="1">
        <f t="shared" si="3"/>
        <v>30</v>
      </c>
      <c r="B37" s="6" t="s">
        <v>3</v>
      </c>
      <c r="C37" s="16" t="s">
        <v>36</v>
      </c>
      <c r="D37" s="5" t="s">
        <v>37</v>
      </c>
      <c r="E37" s="4" t="s">
        <v>42</v>
      </c>
      <c r="F37" s="98"/>
      <c r="G37" s="4"/>
      <c r="H37" s="4" t="s">
        <v>382</v>
      </c>
      <c r="I37" s="4" t="s">
        <v>382</v>
      </c>
      <c r="J37" s="4"/>
    </row>
    <row r="38" spans="1:10">
      <c r="A38" s="1">
        <f t="shared" si="3"/>
        <v>31</v>
      </c>
      <c r="B38" s="6" t="s">
        <v>3</v>
      </c>
      <c r="C38" s="16" t="s">
        <v>43</v>
      </c>
      <c r="D38" s="4" t="s">
        <v>44</v>
      </c>
      <c r="E38" s="4" t="s">
        <v>27</v>
      </c>
      <c r="F38" s="98"/>
      <c r="G38" s="4"/>
      <c r="H38" s="4" t="s">
        <v>382</v>
      </c>
      <c r="I38" s="4" t="s">
        <v>383</v>
      </c>
      <c r="J38" s="4"/>
    </row>
    <row r="39" spans="1:10">
      <c r="A39" s="1">
        <f t="shared" si="3"/>
        <v>32</v>
      </c>
      <c r="B39" s="6" t="s">
        <v>3</v>
      </c>
      <c r="C39" s="16" t="s">
        <v>132</v>
      </c>
      <c r="D39" s="5" t="s">
        <v>131</v>
      </c>
      <c r="E39" s="4" t="s">
        <v>27</v>
      </c>
      <c r="F39" s="98"/>
      <c r="G39" s="4"/>
      <c r="H39" s="4" t="s">
        <v>382</v>
      </c>
      <c r="I39" s="4" t="s">
        <v>383</v>
      </c>
      <c r="J39" s="4"/>
    </row>
    <row r="40" spans="1:10">
      <c r="A40" s="1">
        <f t="shared" si="3"/>
        <v>33</v>
      </c>
      <c r="B40" s="6" t="s">
        <v>3</v>
      </c>
      <c r="C40" s="16" t="s">
        <v>139</v>
      </c>
      <c r="D40" s="5" t="s">
        <v>140</v>
      </c>
      <c r="E40" s="4" t="s">
        <v>27</v>
      </c>
      <c r="F40" s="98"/>
      <c r="G40" s="4"/>
      <c r="H40" s="4" t="s">
        <v>382</v>
      </c>
      <c r="I40" s="4"/>
      <c r="J40" s="4"/>
    </row>
    <row r="41" spans="1:10">
      <c r="A41" s="1">
        <f t="shared" si="3"/>
        <v>34</v>
      </c>
      <c r="B41" s="6" t="s">
        <v>3</v>
      </c>
      <c r="C41" s="16" t="s">
        <v>143</v>
      </c>
      <c r="D41" s="5" t="s">
        <v>141</v>
      </c>
      <c r="E41" s="4" t="s">
        <v>27</v>
      </c>
      <c r="F41" s="98"/>
      <c r="G41" s="4"/>
      <c r="H41" s="4" t="s">
        <v>383</v>
      </c>
      <c r="I41" s="4"/>
      <c r="J41" s="4"/>
    </row>
    <row r="42" spans="1:10">
      <c r="A42" s="1">
        <f t="shared" si="3"/>
        <v>35</v>
      </c>
      <c r="B42" s="6" t="s">
        <v>3</v>
      </c>
      <c r="C42" s="16" t="s">
        <v>144</v>
      </c>
      <c r="D42" s="5" t="s">
        <v>142</v>
      </c>
      <c r="E42" s="4" t="s">
        <v>27</v>
      </c>
      <c r="F42" s="98"/>
      <c r="G42" s="4"/>
      <c r="H42" s="4" t="s">
        <v>383</v>
      </c>
      <c r="I42" s="4"/>
      <c r="J42" s="4"/>
    </row>
    <row r="43" spans="1:10">
      <c r="A43" s="1">
        <f t="shared" si="3"/>
        <v>36</v>
      </c>
      <c r="B43" s="6" t="s">
        <v>3</v>
      </c>
      <c r="C43" s="16" t="s">
        <v>135</v>
      </c>
      <c r="D43" s="5" t="s">
        <v>134</v>
      </c>
      <c r="E43" s="4" t="s">
        <v>27</v>
      </c>
      <c r="F43" s="98"/>
      <c r="G43" s="4"/>
      <c r="H43" s="4" t="s">
        <v>383</v>
      </c>
      <c r="I43" s="4"/>
      <c r="J43" s="4" t="s">
        <v>382</v>
      </c>
    </row>
    <row r="44" spans="1:10">
      <c r="A44" s="1">
        <f t="shared" si="3"/>
        <v>37</v>
      </c>
      <c r="B44" s="6" t="s">
        <v>3</v>
      </c>
      <c r="C44" s="16" t="s">
        <v>161</v>
      </c>
      <c r="D44" s="5" t="s">
        <v>211</v>
      </c>
      <c r="E44" s="4" t="s">
        <v>27</v>
      </c>
      <c r="F44" s="98"/>
      <c r="G44" s="4"/>
      <c r="H44" s="4" t="s">
        <v>395</v>
      </c>
      <c r="I44" s="4"/>
      <c r="J44" s="4" t="s">
        <v>382</v>
      </c>
    </row>
    <row r="45" spans="1:10">
      <c r="A45" s="1">
        <f t="shared" si="3"/>
        <v>38</v>
      </c>
      <c r="B45" s="6" t="s">
        <v>3</v>
      </c>
      <c r="C45" s="16" t="s">
        <v>163</v>
      </c>
      <c r="D45" s="5" t="s">
        <v>212</v>
      </c>
      <c r="E45" s="4" t="s">
        <v>27</v>
      </c>
      <c r="F45" s="98"/>
      <c r="G45" s="4"/>
      <c r="H45" s="4" t="s">
        <v>396</v>
      </c>
      <c r="I45" s="4"/>
      <c r="J45" s="4" t="s">
        <v>383</v>
      </c>
    </row>
    <row r="46" spans="1:10">
      <c r="A46" s="1">
        <f t="shared" si="3"/>
        <v>39</v>
      </c>
      <c r="B46" s="6" t="s">
        <v>3</v>
      </c>
      <c r="C46" s="16" t="s">
        <v>164</v>
      </c>
      <c r="D46" s="5" t="s">
        <v>165</v>
      </c>
      <c r="E46" s="4" t="s">
        <v>27</v>
      </c>
      <c r="F46" s="98"/>
      <c r="G46" s="4"/>
      <c r="H46" s="4" t="s">
        <v>409</v>
      </c>
      <c r="I46" s="4"/>
      <c r="J46" s="4" t="s">
        <v>383</v>
      </c>
    </row>
    <row r="47" spans="1:10">
      <c r="A47" s="1">
        <f t="shared" si="3"/>
        <v>40</v>
      </c>
      <c r="B47" s="6" t="s">
        <v>3</v>
      </c>
      <c r="C47" s="16" t="s">
        <v>171</v>
      </c>
      <c r="D47" s="5" t="s">
        <v>213</v>
      </c>
      <c r="E47" s="4" t="s">
        <v>27</v>
      </c>
      <c r="F47" s="98"/>
      <c r="G47" s="4"/>
      <c r="H47" s="4" t="s">
        <v>382</v>
      </c>
      <c r="I47" s="4"/>
      <c r="J47" s="4" t="s">
        <v>383</v>
      </c>
    </row>
    <row r="48" spans="1:10">
      <c r="A48" s="1">
        <f t="shared" si="3"/>
        <v>41</v>
      </c>
      <c r="B48" s="6" t="s">
        <v>3</v>
      </c>
      <c r="C48" s="16" t="s">
        <v>172</v>
      </c>
      <c r="D48" s="5" t="s">
        <v>214</v>
      </c>
      <c r="E48" s="4" t="s">
        <v>27</v>
      </c>
      <c r="F48" s="98"/>
      <c r="G48" s="4"/>
      <c r="H48" s="4" t="s">
        <v>396</v>
      </c>
      <c r="I48" s="4"/>
      <c r="J48" s="4" t="s">
        <v>395</v>
      </c>
    </row>
    <row r="49" spans="1:10">
      <c r="A49" s="1">
        <f t="shared" si="3"/>
        <v>42</v>
      </c>
      <c r="B49" s="6" t="s">
        <v>3</v>
      </c>
      <c r="C49" s="16" t="s">
        <v>215</v>
      </c>
      <c r="D49" s="5" t="s">
        <v>216</v>
      </c>
      <c r="E49" s="4" t="s">
        <v>27</v>
      </c>
      <c r="F49" s="98"/>
      <c r="G49" s="4"/>
      <c r="H49" s="4" t="s">
        <v>383</v>
      </c>
      <c r="I49" s="4"/>
      <c r="J49" s="4" t="s">
        <v>396</v>
      </c>
    </row>
    <row r="50" spans="1:10">
      <c r="A50" s="1">
        <f t="shared" si="3"/>
        <v>43</v>
      </c>
      <c r="B50" s="6" t="s">
        <v>3</v>
      </c>
      <c r="C50" s="16" t="s">
        <v>176</v>
      </c>
      <c r="D50" s="5" t="s">
        <v>217</v>
      </c>
      <c r="E50" s="4" t="s">
        <v>27</v>
      </c>
      <c r="F50" s="98"/>
      <c r="G50" s="4"/>
      <c r="H50" s="4" t="s">
        <v>383</v>
      </c>
      <c r="I50" s="4"/>
      <c r="J50" s="4" t="s">
        <v>409</v>
      </c>
    </row>
    <row r="51" spans="1:10">
      <c r="A51" s="1">
        <f t="shared" si="3"/>
        <v>44</v>
      </c>
      <c r="B51" s="6" t="s">
        <v>3</v>
      </c>
      <c r="C51" s="16" t="s">
        <v>218</v>
      </c>
      <c r="D51" s="5" t="s">
        <v>195</v>
      </c>
      <c r="E51" s="4" t="s">
        <v>27</v>
      </c>
      <c r="F51" s="98"/>
      <c r="G51" s="4"/>
      <c r="H51" s="4" t="s">
        <v>383</v>
      </c>
      <c r="I51" s="4"/>
      <c r="J51" s="4"/>
    </row>
    <row r="52" spans="1:10">
      <c r="A52" s="1">
        <f t="shared" si="3"/>
        <v>45</v>
      </c>
      <c r="B52" s="6" t="s">
        <v>3</v>
      </c>
      <c r="C52" s="16" t="s">
        <v>204</v>
      </c>
      <c r="D52" s="5" t="s">
        <v>203</v>
      </c>
      <c r="E52" s="4" t="s">
        <v>27</v>
      </c>
      <c r="F52" s="98"/>
      <c r="G52" s="4"/>
      <c r="H52" s="4" t="s">
        <v>383</v>
      </c>
      <c r="I52" s="4"/>
      <c r="J52" s="4" t="s">
        <v>396</v>
      </c>
    </row>
    <row r="53" spans="1:10">
      <c r="A53" s="1">
        <f t="shared" si="3"/>
        <v>46</v>
      </c>
      <c r="B53" s="6" t="s">
        <v>3</v>
      </c>
      <c r="C53" s="16" t="s">
        <v>206</v>
      </c>
      <c r="D53" s="5" t="s">
        <v>205</v>
      </c>
      <c r="E53" s="4" t="s">
        <v>27</v>
      </c>
      <c r="F53" s="98"/>
      <c r="G53" s="4"/>
      <c r="H53" s="4" t="s">
        <v>383</v>
      </c>
      <c r="I53" s="4"/>
      <c r="J53" s="4"/>
    </row>
    <row r="54" spans="1:10">
      <c r="A54" s="1">
        <f t="shared" si="3"/>
        <v>47</v>
      </c>
      <c r="B54" s="6" t="s">
        <v>3</v>
      </c>
      <c r="C54" s="16" t="s">
        <v>208</v>
      </c>
      <c r="D54" s="5" t="s">
        <v>207</v>
      </c>
      <c r="E54" s="4" t="s">
        <v>27</v>
      </c>
      <c r="F54" s="98"/>
      <c r="G54" s="4"/>
      <c r="H54" s="4" t="s">
        <v>383</v>
      </c>
      <c r="I54" s="4"/>
      <c r="J54" s="4"/>
    </row>
    <row r="55" spans="1:10">
      <c r="A55" s="1">
        <f t="shared" si="3"/>
        <v>48</v>
      </c>
      <c r="B55" s="6" t="s">
        <v>3</v>
      </c>
      <c r="C55" s="16" t="s">
        <v>210</v>
      </c>
      <c r="D55" s="5" t="s">
        <v>209</v>
      </c>
      <c r="E55" s="4" t="s">
        <v>27</v>
      </c>
      <c r="F55" s="98"/>
      <c r="G55" s="4"/>
      <c r="H55" s="4" t="s">
        <v>383</v>
      </c>
      <c r="I55" s="4"/>
      <c r="J55" s="4"/>
    </row>
    <row r="56" spans="1:10">
      <c r="A56" s="1">
        <f t="shared" si="3"/>
        <v>49</v>
      </c>
      <c r="B56" s="18" t="s">
        <v>3</v>
      </c>
      <c r="C56" s="17">
        <v>1818</v>
      </c>
      <c r="D56" s="5" t="s">
        <v>255</v>
      </c>
      <c r="E56" s="4" t="s">
        <v>27</v>
      </c>
      <c r="F56" s="98"/>
      <c r="G56" s="4"/>
      <c r="H56" s="4" t="s">
        <v>404</v>
      </c>
      <c r="I56" s="4"/>
      <c r="J56" s="4"/>
    </row>
    <row r="57" spans="1:10">
      <c r="A57" s="1">
        <f t="shared" si="3"/>
        <v>50</v>
      </c>
      <c r="B57" s="18" t="s">
        <v>3</v>
      </c>
      <c r="C57" s="17">
        <v>3008</v>
      </c>
      <c r="D57" s="5" t="s">
        <v>345</v>
      </c>
      <c r="E57" s="4" t="s">
        <v>27</v>
      </c>
      <c r="F57" s="98"/>
      <c r="G57" s="4"/>
      <c r="H57" s="4" t="s">
        <v>405</v>
      </c>
      <c r="I57" s="4"/>
      <c r="J57" s="4"/>
    </row>
    <row r="58" spans="1:10">
      <c r="A58" s="1">
        <f t="shared" si="3"/>
        <v>51</v>
      </c>
      <c r="B58" s="71" t="s">
        <v>3</v>
      </c>
      <c r="C58" s="72">
        <v>3072</v>
      </c>
      <c r="D58" s="69" t="s">
        <v>363</v>
      </c>
      <c r="E58" s="63" t="s">
        <v>27</v>
      </c>
      <c r="F58" s="98"/>
      <c r="G58" s="63"/>
      <c r="H58" s="4" t="s">
        <v>382</v>
      </c>
      <c r="I58" s="63"/>
      <c r="J58" s="63"/>
    </row>
    <row r="59" spans="1:10">
      <c r="A59" s="7">
        <f t="shared" si="3"/>
        <v>52</v>
      </c>
      <c r="B59" s="76" t="s">
        <v>3</v>
      </c>
      <c r="C59" s="77">
        <v>3073</v>
      </c>
      <c r="D59" s="8" t="s">
        <v>364</v>
      </c>
      <c r="E59" s="9" t="s">
        <v>27</v>
      </c>
      <c r="F59" s="99"/>
      <c r="G59" s="9"/>
      <c r="H59" s="9" t="s">
        <v>382</v>
      </c>
      <c r="I59" s="9"/>
      <c r="J59" s="9"/>
    </row>
    <row r="60" spans="1:10">
      <c r="A60" s="22"/>
      <c r="B60" s="21"/>
      <c r="C60" s="47"/>
      <c r="D60" s="19"/>
      <c r="E60" s="48"/>
      <c r="F60" s="19"/>
      <c r="G60" s="48"/>
      <c r="H60" s="48"/>
      <c r="I60" s="48"/>
      <c r="J60" s="48"/>
    </row>
    <row r="61" spans="1:10">
      <c r="A61" s="32">
        <f>ROW()-8</f>
        <v>53</v>
      </c>
      <c r="B61" s="33" t="s">
        <v>3</v>
      </c>
      <c r="C61" s="44" t="s">
        <v>45</v>
      </c>
      <c r="D61" s="35" t="s">
        <v>46</v>
      </c>
      <c r="E61" s="35" t="s">
        <v>47</v>
      </c>
      <c r="F61" s="97" t="s">
        <v>145</v>
      </c>
      <c r="G61" s="37"/>
      <c r="H61" s="37" t="s">
        <v>382</v>
      </c>
      <c r="I61" s="37"/>
      <c r="J61" s="37"/>
    </row>
    <row r="62" spans="1:10">
      <c r="A62" s="1">
        <f>ROW()-8</f>
        <v>54</v>
      </c>
      <c r="B62" s="6" t="s">
        <v>3</v>
      </c>
      <c r="C62" s="16" t="s">
        <v>48</v>
      </c>
      <c r="D62" s="5" t="s">
        <v>49</v>
      </c>
      <c r="E62" s="4" t="s">
        <v>47</v>
      </c>
      <c r="F62" s="98"/>
      <c r="G62" s="4"/>
      <c r="H62" s="4" t="s">
        <v>406</v>
      </c>
      <c r="I62" s="4"/>
      <c r="J62" s="4"/>
    </row>
    <row r="63" spans="1:10">
      <c r="A63" s="1">
        <f t="shared" ref="A63:A91" si="4">ROW()-8</f>
        <v>55</v>
      </c>
      <c r="B63" s="6" t="s">
        <v>3</v>
      </c>
      <c r="C63" s="16" t="s">
        <v>50</v>
      </c>
      <c r="D63" s="5" t="s">
        <v>51</v>
      </c>
      <c r="E63" s="4" t="s">
        <v>47</v>
      </c>
      <c r="F63" s="98"/>
      <c r="G63" s="4"/>
      <c r="H63" s="4" t="s">
        <v>406</v>
      </c>
      <c r="I63" s="4"/>
      <c r="J63" s="4"/>
    </row>
    <row r="64" spans="1:10">
      <c r="A64" s="1">
        <f t="shared" si="4"/>
        <v>56</v>
      </c>
      <c r="B64" s="6" t="s">
        <v>3</v>
      </c>
      <c r="C64" s="16" t="s">
        <v>54</v>
      </c>
      <c r="D64" s="5" t="s">
        <v>55</v>
      </c>
      <c r="E64" s="4" t="s">
        <v>47</v>
      </c>
      <c r="F64" s="98"/>
      <c r="G64" s="4"/>
      <c r="H64" s="4" t="s">
        <v>406</v>
      </c>
      <c r="I64" s="4"/>
      <c r="J64" s="4"/>
    </row>
    <row r="65" spans="1:10">
      <c r="A65" s="1">
        <f t="shared" si="4"/>
        <v>57</v>
      </c>
      <c r="B65" s="6" t="s">
        <v>3</v>
      </c>
      <c r="C65" s="16" t="s">
        <v>137</v>
      </c>
      <c r="D65" s="5" t="s">
        <v>136</v>
      </c>
      <c r="E65" s="4" t="s">
        <v>47</v>
      </c>
      <c r="F65" s="98"/>
      <c r="G65" s="4"/>
      <c r="H65" s="4" t="s">
        <v>406</v>
      </c>
      <c r="I65" s="4"/>
      <c r="J65" s="4"/>
    </row>
    <row r="66" spans="1:10">
      <c r="A66" s="1">
        <f t="shared" si="4"/>
        <v>58</v>
      </c>
      <c r="B66" s="6" t="s">
        <v>3</v>
      </c>
      <c r="C66" s="16" t="s">
        <v>152</v>
      </c>
      <c r="D66" s="5" t="s">
        <v>158</v>
      </c>
      <c r="E66" s="4" t="s">
        <v>47</v>
      </c>
      <c r="F66" s="98"/>
      <c r="G66" s="4"/>
      <c r="H66" s="4" t="s">
        <v>406</v>
      </c>
      <c r="I66" s="4"/>
      <c r="J66" s="4"/>
    </row>
    <row r="67" spans="1:10">
      <c r="A67" s="1">
        <f t="shared" si="4"/>
        <v>59</v>
      </c>
      <c r="B67" s="6" t="s">
        <v>3</v>
      </c>
      <c r="C67" s="16" t="s">
        <v>147</v>
      </c>
      <c r="D67" s="5" t="s">
        <v>146</v>
      </c>
      <c r="E67" s="4" t="s">
        <v>47</v>
      </c>
      <c r="F67" s="98"/>
      <c r="G67" s="4"/>
      <c r="H67" s="4" t="s">
        <v>406</v>
      </c>
      <c r="I67" s="4"/>
      <c r="J67" s="4"/>
    </row>
    <row r="68" spans="1:10">
      <c r="A68" s="1">
        <f t="shared" si="4"/>
        <v>60</v>
      </c>
      <c r="B68" s="6" t="s">
        <v>3</v>
      </c>
      <c r="C68" s="16" t="s">
        <v>223</v>
      </c>
      <c r="D68" s="5" t="s">
        <v>224</v>
      </c>
      <c r="E68" s="4" t="s">
        <v>47</v>
      </c>
      <c r="F68" s="98"/>
      <c r="G68" s="4"/>
      <c r="H68" s="4" t="s">
        <v>406</v>
      </c>
      <c r="I68" s="4"/>
      <c r="J68" s="4"/>
    </row>
    <row r="69" spans="1:10">
      <c r="A69" s="1">
        <f t="shared" si="4"/>
        <v>61</v>
      </c>
      <c r="B69" s="6" t="s">
        <v>3</v>
      </c>
      <c r="C69" s="16" t="s">
        <v>225</v>
      </c>
      <c r="D69" s="5" t="s">
        <v>226</v>
      </c>
      <c r="E69" s="4" t="s">
        <v>47</v>
      </c>
      <c r="F69" s="98"/>
      <c r="G69" s="4"/>
      <c r="H69" s="4" t="s">
        <v>406</v>
      </c>
      <c r="I69" s="4"/>
      <c r="J69" s="4"/>
    </row>
    <row r="70" spans="1:10">
      <c r="A70" s="1">
        <f t="shared" si="4"/>
        <v>62</v>
      </c>
      <c r="B70" s="6" t="s">
        <v>3</v>
      </c>
      <c r="C70" s="16" t="s">
        <v>125</v>
      </c>
      <c r="D70" s="4" t="s">
        <v>272</v>
      </c>
      <c r="E70" s="4" t="s">
        <v>47</v>
      </c>
      <c r="F70" s="98"/>
      <c r="G70" s="4"/>
      <c r="H70" s="4" t="s">
        <v>406</v>
      </c>
      <c r="I70" s="4"/>
      <c r="J70" s="4"/>
    </row>
    <row r="71" spans="1:10">
      <c r="A71" s="1">
        <f t="shared" si="4"/>
        <v>63</v>
      </c>
      <c r="B71" s="6" t="s">
        <v>3</v>
      </c>
      <c r="C71" s="16" t="s">
        <v>109</v>
      </c>
      <c r="D71" s="5" t="s">
        <v>110</v>
      </c>
      <c r="E71" s="4" t="s">
        <v>47</v>
      </c>
      <c r="F71" s="98"/>
      <c r="G71" s="4"/>
      <c r="H71" s="4" t="s">
        <v>406</v>
      </c>
      <c r="I71" s="4"/>
      <c r="J71" s="4"/>
    </row>
    <row r="72" spans="1:10">
      <c r="A72" s="1">
        <f t="shared" si="4"/>
        <v>64</v>
      </c>
      <c r="B72" s="6" t="s">
        <v>3</v>
      </c>
      <c r="C72" s="16" t="s">
        <v>129</v>
      </c>
      <c r="D72" s="4" t="s">
        <v>273</v>
      </c>
      <c r="E72" s="4" t="s">
        <v>47</v>
      </c>
      <c r="F72" s="98"/>
      <c r="G72" s="4"/>
      <c r="H72" s="4" t="s">
        <v>406</v>
      </c>
      <c r="I72" s="4" t="s">
        <v>382</v>
      </c>
      <c r="J72" s="4"/>
    </row>
    <row r="73" spans="1:10">
      <c r="A73" s="1">
        <f t="shared" si="4"/>
        <v>65</v>
      </c>
      <c r="B73" s="6" t="s">
        <v>3</v>
      </c>
      <c r="C73" s="16" t="s">
        <v>157</v>
      </c>
      <c r="D73" s="5" t="s">
        <v>227</v>
      </c>
      <c r="E73" s="4" t="s">
        <v>47</v>
      </c>
      <c r="F73" s="98"/>
      <c r="G73" s="4"/>
      <c r="H73" s="4" t="s">
        <v>406</v>
      </c>
      <c r="I73" s="4" t="s">
        <v>382</v>
      </c>
      <c r="J73" s="4"/>
    </row>
    <row r="74" spans="1:10" s="11" customFormat="1">
      <c r="A74" s="1">
        <f t="shared" si="4"/>
        <v>66</v>
      </c>
      <c r="B74" s="6" t="s">
        <v>3</v>
      </c>
      <c r="C74" s="16" t="s">
        <v>162</v>
      </c>
      <c r="D74" s="5" t="s">
        <v>228</v>
      </c>
      <c r="E74" s="4" t="s">
        <v>47</v>
      </c>
      <c r="F74" s="98"/>
      <c r="G74" s="4"/>
      <c r="H74" s="4" t="s">
        <v>407</v>
      </c>
      <c r="I74" s="4" t="s">
        <v>383</v>
      </c>
      <c r="J74" s="4"/>
    </row>
    <row r="75" spans="1:10" s="11" customFormat="1">
      <c r="A75" s="1">
        <f t="shared" si="4"/>
        <v>67</v>
      </c>
      <c r="B75" s="6" t="s">
        <v>3</v>
      </c>
      <c r="C75" s="16" t="s">
        <v>173</v>
      </c>
      <c r="D75" s="5" t="s">
        <v>229</v>
      </c>
      <c r="E75" s="4" t="s">
        <v>47</v>
      </c>
      <c r="F75" s="98"/>
      <c r="G75" s="4"/>
      <c r="H75" s="4" t="s">
        <v>407</v>
      </c>
      <c r="I75" s="4" t="s">
        <v>383</v>
      </c>
      <c r="J75" s="4"/>
    </row>
    <row r="76" spans="1:10" s="11" customFormat="1">
      <c r="A76" s="1">
        <f t="shared" si="4"/>
        <v>68</v>
      </c>
      <c r="B76" s="6" t="s">
        <v>3</v>
      </c>
      <c r="C76" s="16" t="s">
        <v>182</v>
      </c>
      <c r="D76" s="5" t="s">
        <v>230</v>
      </c>
      <c r="E76" s="4" t="s">
        <v>47</v>
      </c>
      <c r="F76" s="98"/>
      <c r="G76" s="4"/>
      <c r="H76" s="4" t="s">
        <v>407</v>
      </c>
      <c r="I76" s="4" t="s">
        <v>383</v>
      </c>
      <c r="J76" s="4"/>
    </row>
    <row r="77" spans="1:10" s="11" customFormat="1">
      <c r="A77" s="1">
        <f t="shared" si="4"/>
        <v>69</v>
      </c>
      <c r="B77" s="6" t="s">
        <v>3</v>
      </c>
      <c r="C77" s="16" t="s">
        <v>231</v>
      </c>
      <c r="D77" s="5" t="s">
        <v>232</v>
      </c>
      <c r="E77" s="4" t="s">
        <v>47</v>
      </c>
      <c r="F77" s="98"/>
      <c r="G77" s="4"/>
      <c r="H77" s="4" t="s">
        <v>407</v>
      </c>
      <c r="I77" s="4" t="s">
        <v>395</v>
      </c>
      <c r="J77" s="4"/>
    </row>
    <row r="78" spans="1:10" s="11" customFormat="1">
      <c r="A78" s="1">
        <f t="shared" si="4"/>
        <v>70</v>
      </c>
      <c r="B78" s="6" t="s">
        <v>3</v>
      </c>
      <c r="C78" s="16" t="s">
        <v>233</v>
      </c>
      <c r="D78" s="5" t="s">
        <v>200</v>
      </c>
      <c r="E78" s="4" t="s">
        <v>47</v>
      </c>
      <c r="F78" s="98"/>
      <c r="G78" s="4"/>
      <c r="H78" s="4" t="s">
        <v>407</v>
      </c>
      <c r="I78" s="4" t="s">
        <v>396</v>
      </c>
      <c r="J78" s="4"/>
    </row>
    <row r="79" spans="1:10" s="11" customFormat="1">
      <c r="A79" s="1">
        <f t="shared" si="4"/>
        <v>71</v>
      </c>
      <c r="B79" s="6" t="s">
        <v>3</v>
      </c>
      <c r="C79" s="16" t="s">
        <v>219</v>
      </c>
      <c r="D79" s="5" t="s">
        <v>220</v>
      </c>
      <c r="E79" s="4" t="s">
        <v>47</v>
      </c>
      <c r="F79" s="98"/>
      <c r="G79" s="4"/>
      <c r="H79" s="4" t="s">
        <v>407</v>
      </c>
      <c r="I79" s="4" t="s">
        <v>409</v>
      </c>
      <c r="J79" s="4"/>
    </row>
    <row r="80" spans="1:10" s="11" customFormat="1">
      <c r="A80" s="1">
        <f t="shared" si="4"/>
        <v>72</v>
      </c>
      <c r="B80" s="6" t="s">
        <v>3</v>
      </c>
      <c r="C80" s="16" t="s">
        <v>221</v>
      </c>
      <c r="D80" s="5" t="s">
        <v>222</v>
      </c>
      <c r="E80" s="4" t="s">
        <v>47</v>
      </c>
      <c r="F80" s="98"/>
      <c r="G80" s="4"/>
      <c r="H80" s="4" t="s">
        <v>407</v>
      </c>
      <c r="I80" s="4"/>
      <c r="J80" s="4"/>
    </row>
    <row r="81" spans="1:10" s="11" customFormat="1">
      <c r="A81" s="1">
        <f t="shared" si="4"/>
        <v>73</v>
      </c>
      <c r="B81" s="6" t="s">
        <v>3</v>
      </c>
      <c r="C81" s="16" t="s">
        <v>266</v>
      </c>
      <c r="D81" s="5" t="s">
        <v>267</v>
      </c>
      <c r="E81" s="4" t="s">
        <v>47</v>
      </c>
      <c r="F81" s="98"/>
      <c r="G81" s="4"/>
      <c r="H81" s="4" t="s">
        <v>403</v>
      </c>
      <c r="I81" s="4" t="s">
        <v>396</v>
      </c>
      <c r="J81" s="4"/>
    </row>
    <row r="82" spans="1:10" s="11" customFormat="1">
      <c r="A82" s="1">
        <f t="shared" si="4"/>
        <v>74</v>
      </c>
      <c r="B82" s="6" t="s">
        <v>3</v>
      </c>
      <c r="C82" s="65">
        <v>2993</v>
      </c>
      <c r="D82" s="13" t="s">
        <v>333</v>
      </c>
      <c r="E82" s="4" t="s">
        <v>47</v>
      </c>
      <c r="F82" s="98"/>
      <c r="G82" s="4"/>
      <c r="H82" s="4" t="s">
        <v>403</v>
      </c>
      <c r="I82" s="4"/>
      <c r="J82" s="4"/>
    </row>
    <row r="83" spans="1:10" s="11" customFormat="1">
      <c r="A83" s="1">
        <f t="shared" si="4"/>
        <v>75</v>
      </c>
      <c r="B83" s="6" t="s">
        <v>3</v>
      </c>
      <c r="C83" s="65">
        <v>2995</v>
      </c>
      <c r="D83" s="13" t="s">
        <v>334</v>
      </c>
      <c r="E83" s="4" t="s">
        <v>47</v>
      </c>
      <c r="F83" s="98"/>
      <c r="G83" s="4"/>
      <c r="H83" s="4" t="s">
        <v>403</v>
      </c>
      <c r="I83" s="4"/>
      <c r="J83" s="4"/>
    </row>
    <row r="84" spans="1:10" s="11" customFormat="1">
      <c r="A84" s="1">
        <f t="shared" si="4"/>
        <v>76</v>
      </c>
      <c r="B84" s="6" t="s">
        <v>3</v>
      </c>
      <c r="C84" s="65">
        <v>3003</v>
      </c>
      <c r="D84" s="13" t="s">
        <v>332</v>
      </c>
      <c r="E84" s="4" t="s">
        <v>47</v>
      </c>
      <c r="F84" s="98"/>
      <c r="G84" s="4"/>
      <c r="H84" s="4" t="s">
        <v>403</v>
      </c>
      <c r="I84" s="4"/>
      <c r="J84" s="4"/>
    </row>
    <row r="85" spans="1:10" s="11" customFormat="1">
      <c r="A85" s="1">
        <f t="shared" si="4"/>
        <v>77</v>
      </c>
      <c r="B85" s="6" t="s">
        <v>3</v>
      </c>
      <c r="C85" s="65">
        <v>3053</v>
      </c>
      <c r="D85" s="13" t="s">
        <v>344</v>
      </c>
      <c r="E85" s="4" t="s">
        <v>47</v>
      </c>
      <c r="F85" s="98"/>
      <c r="G85" s="4"/>
      <c r="H85" s="4" t="s">
        <v>403</v>
      </c>
      <c r="I85" s="4"/>
      <c r="J85" s="4"/>
    </row>
    <row r="86" spans="1:10" s="11" customFormat="1">
      <c r="A86" s="1">
        <f t="shared" si="4"/>
        <v>78</v>
      </c>
      <c r="B86" s="6" t="s">
        <v>3</v>
      </c>
      <c r="C86" s="65">
        <v>3055</v>
      </c>
      <c r="D86" s="13" t="s">
        <v>343</v>
      </c>
      <c r="E86" s="4" t="s">
        <v>47</v>
      </c>
      <c r="F86" s="98"/>
      <c r="G86" s="4"/>
      <c r="H86" s="4" t="s">
        <v>403</v>
      </c>
      <c r="I86" s="4"/>
      <c r="J86" s="4"/>
    </row>
    <row r="87" spans="1:10" s="11" customFormat="1">
      <c r="A87" s="1">
        <f t="shared" si="4"/>
        <v>79</v>
      </c>
      <c r="B87" s="6" t="s">
        <v>3</v>
      </c>
      <c r="C87" s="65">
        <v>3058</v>
      </c>
      <c r="D87" s="13" t="s">
        <v>350</v>
      </c>
      <c r="E87" s="4" t="s">
        <v>47</v>
      </c>
      <c r="F87" s="98"/>
      <c r="G87" s="4"/>
      <c r="H87" s="4" t="s">
        <v>403</v>
      </c>
      <c r="I87" s="4" t="s">
        <v>410</v>
      </c>
      <c r="J87" s="4"/>
    </row>
    <row r="88" spans="1:10" s="11" customFormat="1">
      <c r="A88" s="1">
        <f t="shared" si="4"/>
        <v>80</v>
      </c>
      <c r="B88" s="6" t="s">
        <v>3</v>
      </c>
      <c r="C88" s="65">
        <v>3059</v>
      </c>
      <c r="D88" s="13" t="s">
        <v>351</v>
      </c>
      <c r="E88" s="4" t="s">
        <v>47</v>
      </c>
      <c r="F88" s="98"/>
      <c r="G88" s="4"/>
      <c r="H88" s="4" t="s">
        <v>403</v>
      </c>
      <c r="I88" s="4"/>
      <c r="J88" s="4"/>
    </row>
    <row r="89" spans="1:10" s="11" customFormat="1">
      <c r="A89" s="1">
        <f t="shared" si="4"/>
        <v>81</v>
      </c>
      <c r="B89" s="6" t="s">
        <v>3</v>
      </c>
      <c r="C89" s="65">
        <v>3060</v>
      </c>
      <c r="D89" s="13" t="s">
        <v>352</v>
      </c>
      <c r="E89" s="4" t="s">
        <v>47</v>
      </c>
      <c r="F89" s="98"/>
      <c r="G89" s="4"/>
      <c r="H89" s="4" t="s">
        <v>403</v>
      </c>
      <c r="I89" s="4"/>
      <c r="J89" s="4"/>
    </row>
    <row r="90" spans="1:10" s="11" customFormat="1">
      <c r="A90" s="1">
        <f t="shared" si="4"/>
        <v>82</v>
      </c>
      <c r="B90" s="6" t="s">
        <v>3</v>
      </c>
      <c r="C90" s="65">
        <v>3064</v>
      </c>
      <c r="D90" s="13" t="s">
        <v>355</v>
      </c>
      <c r="E90" s="4" t="s">
        <v>47</v>
      </c>
      <c r="F90" s="98"/>
      <c r="G90" s="4"/>
      <c r="H90" s="4" t="s">
        <v>403</v>
      </c>
      <c r="I90" s="4"/>
      <c r="J90" s="4"/>
    </row>
    <row r="91" spans="1:10" s="11" customFormat="1">
      <c r="A91" s="7">
        <f t="shared" si="4"/>
        <v>83</v>
      </c>
      <c r="B91" s="38" t="s">
        <v>3</v>
      </c>
      <c r="C91" s="91">
        <v>3077</v>
      </c>
      <c r="D91" s="12" t="s">
        <v>367</v>
      </c>
      <c r="E91" s="9" t="s">
        <v>47</v>
      </c>
      <c r="F91" s="99"/>
      <c r="G91" s="9"/>
      <c r="H91" s="9" t="s">
        <v>382</v>
      </c>
      <c r="I91" s="9"/>
      <c r="J91" s="9"/>
    </row>
    <row r="92" spans="1:10" s="11" customFormat="1">
      <c r="A92" s="22"/>
      <c r="B92" s="21"/>
      <c r="C92" s="47"/>
      <c r="D92" s="51"/>
      <c r="E92" s="51"/>
      <c r="F92" s="70"/>
      <c r="G92" s="48"/>
      <c r="H92" s="48"/>
      <c r="I92" s="48"/>
      <c r="J92" s="48"/>
    </row>
    <row r="93" spans="1:10" s="11" customFormat="1" ht="15" customHeight="1">
      <c r="A93" s="32">
        <f>ROW()-9</f>
        <v>84</v>
      </c>
      <c r="B93" s="33" t="s">
        <v>3</v>
      </c>
      <c r="C93" s="44" t="s">
        <v>71</v>
      </c>
      <c r="D93" s="35" t="s">
        <v>72</v>
      </c>
      <c r="E93" s="52" t="s">
        <v>384</v>
      </c>
      <c r="F93" s="103" t="s">
        <v>399</v>
      </c>
      <c r="G93" s="46"/>
      <c r="H93" s="46" t="s">
        <v>382</v>
      </c>
      <c r="I93" s="46"/>
      <c r="J93" s="52"/>
    </row>
    <row r="94" spans="1:10">
      <c r="A94" s="1">
        <f>ROW()-9</f>
        <v>85</v>
      </c>
      <c r="B94" s="6" t="s">
        <v>3</v>
      </c>
      <c r="C94" s="16" t="s">
        <v>62</v>
      </c>
      <c r="D94" s="5" t="s">
        <v>63</v>
      </c>
      <c r="E94" s="10" t="s">
        <v>385</v>
      </c>
      <c r="F94" s="104"/>
      <c r="G94" s="4"/>
      <c r="H94" s="4" t="s">
        <v>382</v>
      </c>
      <c r="I94" s="4"/>
      <c r="J94" s="10"/>
    </row>
    <row r="95" spans="1:10">
      <c r="A95" s="1">
        <f t="shared" ref="A95:A104" si="5">ROW()-9</f>
        <v>86</v>
      </c>
      <c r="B95" s="6" t="s">
        <v>3</v>
      </c>
      <c r="C95" s="16" t="s">
        <v>260</v>
      </c>
      <c r="D95" s="15" t="s">
        <v>261</v>
      </c>
      <c r="E95" s="66" t="s">
        <v>318</v>
      </c>
      <c r="F95" s="104"/>
      <c r="G95" s="4"/>
      <c r="H95" s="4" t="s">
        <v>382</v>
      </c>
      <c r="I95" s="4"/>
      <c r="J95" s="4"/>
    </row>
    <row r="96" spans="1:10">
      <c r="A96" s="1">
        <f t="shared" si="5"/>
        <v>87</v>
      </c>
      <c r="B96" s="6" t="s">
        <v>3</v>
      </c>
      <c r="C96" s="16" t="s">
        <v>66</v>
      </c>
      <c r="D96" s="5" t="s">
        <v>67</v>
      </c>
      <c r="E96" s="2" t="s">
        <v>61</v>
      </c>
      <c r="F96" s="104"/>
      <c r="G96" s="4"/>
      <c r="H96" s="4" t="s">
        <v>382</v>
      </c>
      <c r="I96" s="4"/>
      <c r="J96" s="4"/>
    </row>
    <row r="97" spans="1:10">
      <c r="A97" s="1">
        <f t="shared" si="5"/>
        <v>88</v>
      </c>
      <c r="B97" s="6" t="s">
        <v>3</v>
      </c>
      <c r="C97" s="16" t="s">
        <v>68</v>
      </c>
      <c r="D97" s="2" t="s">
        <v>69</v>
      </c>
      <c r="E97" s="2" t="s">
        <v>70</v>
      </c>
      <c r="F97" s="104"/>
      <c r="G97" s="4"/>
      <c r="H97" s="4" t="s">
        <v>382</v>
      </c>
      <c r="I97" s="4"/>
      <c r="J97" s="4"/>
    </row>
    <row r="98" spans="1:10">
      <c r="A98" s="1">
        <f t="shared" si="5"/>
        <v>89</v>
      </c>
      <c r="B98" s="6" t="s">
        <v>3</v>
      </c>
      <c r="C98" s="16" t="s">
        <v>59</v>
      </c>
      <c r="D98" s="5" t="s">
        <v>60</v>
      </c>
      <c r="E98" s="2" t="s">
        <v>70</v>
      </c>
      <c r="F98" s="104"/>
      <c r="G98" s="4"/>
      <c r="H98" s="4" t="s">
        <v>382</v>
      </c>
      <c r="I98" s="4"/>
      <c r="J98" s="4"/>
    </row>
    <row r="99" spans="1:10">
      <c r="A99" s="1">
        <f t="shared" si="5"/>
        <v>90</v>
      </c>
      <c r="B99" s="6" t="s">
        <v>3</v>
      </c>
      <c r="C99" s="16" t="s">
        <v>73</v>
      </c>
      <c r="D99" s="5" t="s">
        <v>74</v>
      </c>
      <c r="E99" s="2" t="s">
        <v>70</v>
      </c>
      <c r="F99" s="104"/>
      <c r="G99" s="4"/>
      <c r="H99" s="4" t="s">
        <v>382</v>
      </c>
      <c r="I99" s="4"/>
      <c r="J99" s="4"/>
    </row>
    <row r="100" spans="1:10">
      <c r="A100" s="1">
        <f t="shared" si="5"/>
        <v>91</v>
      </c>
      <c r="B100" s="6" t="s">
        <v>3</v>
      </c>
      <c r="C100" s="16" t="s">
        <v>75</v>
      </c>
      <c r="D100" s="2" t="s">
        <v>76</v>
      </c>
      <c r="E100" s="2" t="s">
        <v>70</v>
      </c>
      <c r="F100" s="104"/>
      <c r="G100" s="4"/>
      <c r="H100" s="4" t="s">
        <v>382</v>
      </c>
      <c r="I100" s="4"/>
      <c r="J100" s="4"/>
    </row>
    <row r="101" spans="1:10">
      <c r="A101" s="1">
        <f t="shared" si="5"/>
        <v>92</v>
      </c>
      <c r="B101" s="6" t="s">
        <v>3</v>
      </c>
      <c r="C101" s="16" t="s">
        <v>77</v>
      </c>
      <c r="D101" s="5" t="s">
        <v>78</v>
      </c>
      <c r="E101" s="2" t="s">
        <v>70</v>
      </c>
      <c r="F101" s="104"/>
      <c r="G101" s="4"/>
      <c r="H101" s="4" t="s">
        <v>382</v>
      </c>
      <c r="I101" s="4"/>
      <c r="J101" s="4"/>
    </row>
    <row r="102" spans="1:10">
      <c r="A102" s="1">
        <f t="shared" si="5"/>
        <v>93</v>
      </c>
      <c r="B102" s="6" t="s">
        <v>3</v>
      </c>
      <c r="C102" s="16" t="s">
        <v>113</v>
      </c>
      <c r="D102" s="15" t="s">
        <v>114</v>
      </c>
      <c r="E102" s="2" t="s">
        <v>61</v>
      </c>
      <c r="F102" s="104"/>
      <c r="G102" s="4"/>
      <c r="H102" s="4" t="s">
        <v>381</v>
      </c>
      <c r="I102" s="4"/>
      <c r="J102" s="4"/>
    </row>
    <row r="103" spans="1:10">
      <c r="A103" s="1">
        <f t="shared" si="5"/>
        <v>94</v>
      </c>
      <c r="B103" s="67" t="s">
        <v>3</v>
      </c>
      <c r="C103" s="68" t="s">
        <v>360</v>
      </c>
      <c r="D103" s="69" t="s">
        <v>361</v>
      </c>
      <c r="E103" s="78" t="s">
        <v>362</v>
      </c>
      <c r="F103" s="104"/>
      <c r="G103" s="63"/>
      <c r="H103" s="63" t="s">
        <v>381</v>
      </c>
      <c r="I103" s="63"/>
      <c r="J103" s="63"/>
    </row>
    <row r="104" spans="1:10">
      <c r="A104" s="7">
        <f t="shared" si="5"/>
        <v>95</v>
      </c>
      <c r="B104" s="38" t="s">
        <v>3</v>
      </c>
      <c r="C104" s="39" t="s">
        <v>365</v>
      </c>
      <c r="D104" s="79" t="s">
        <v>366</v>
      </c>
      <c r="E104" s="40" t="s">
        <v>70</v>
      </c>
      <c r="F104" s="106"/>
      <c r="G104" s="9"/>
      <c r="H104" s="9" t="s">
        <v>381</v>
      </c>
      <c r="I104" s="9"/>
      <c r="J104" s="9"/>
    </row>
    <row r="105" spans="1:10">
      <c r="A105" s="22"/>
      <c r="B105" s="21"/>
      <c r="C105" s="47"/>
      <c r="D105" s="53"/>
      <c r="E105" s="54"/>
      <c r="F105" s="98"/>
      <c r="G105" s="48"/>
      <c r="H105" s="48"/>
      <c r="I105" s="48"/>
      <c r="J105" s="48"/>
    </row>
    <row r="106" spans="1:10" ht="15" customHeight="1">
      <c r="A106" s="32">
        <f>ROW()-10</f>
        <v>96</v>
      </c>
      <c r="B106" s="33" t="s">
        <v>3</v>
      </c>
      <c r="C106" s="44" t="s">
        <v>21</v>
      </c>
      <c r="D106" s="35" t="s">
        <v>22</v>
      </c>
      <c r="E106" s="55" t="s">
        <v>124</v>
      </c>
      <c r="F106" s="103" t="s">
        <v>401</v>
      </c>
      <c r="G106" s="37"/>
      <c r="H106" s="37" t="s">
        <v>409</v>
      </c>
      <c r="I106" s="37"/>
      <c r="J106" s="37"/>
    </row>
    <row r="107" spans="1:10">
      <c r="A107" s="1">
        <f>ROW()-10</f>
        <v>97</v>
      </c>
      <c r="B107" s="6" t="s">
        <v>3</v>
      </c>
      <c r="C107" s="16" t="s">
        <v>23</v>
      </c>
      <c r="D107" s="2" t="s">
        <v>24</v>
      </c>
      <c r="E107" s="2" t="s">
        <v>20</v>
      </c>
      <c r="F107" s="104"/>
      <c r="G107" s="3"/>
      <c r="H107" s="3" t="s">
        <v>410</v>
      </c>
      <c r="I107" s="3"/>
      <c r="J107" s="3"/>
    </row>
    <row r="108" spans="1:10">
      <c r="A108" s="1">
        <f t="shared" ref="A108:A114" si="6">ROW()-10</f>
        <v>98</v>
      </c>
      <c r="B108" s="6" t="s">
        <v>3</v>
      </c>
      <c r="C108" s="16" t="s">
        <v>83</v>
      </c>
      <c r="D108" s="5" t="s">
        <v>84</v>
      </c>
      <c r="E108" s="2" t="s">
        <v>20</v>
      </c>
      <c r="F108" s="104"/>
      <c r="G108" s="4"/>
      <c r="H108" s="3" t="s">
        <v>410</v>
      </c>
      <c r="I108" s="4"/>
      <c r="J108" s="4"/>
    </row>
    <row r="109" spans="1:10">
      <c r="A109" s="1">
        <f t="shared" si="6"/>
        <v>99</v>
      </c>
      <c r="B109" s="6" t="s">
        <v>3</v>
      </c>
      <c r="C109" s="16" t="s">
        <v>25</v>
      </c>
      <c r="D109" s="5" t="s">
        <v>26</v>
      </c>
      <c r="E109" s="2" t="s">
        <v>20</v>
      </c>
      <c r="F109" s="104"/>
      <c r="G109" s="4"/>
      <c r="H109" s="3" t="s">
        <v>410</v>
      </c>
      <c r="I109" s="4"/>
      <c r="J109" s="4"/>
    </row>
    <row r="110" spans="1:10">
      <c r="A110" s="1">
        <f t="shared" si="6"/>
        <v>100</v>
      </c>
      <c r="B110" s="6" t="s">
        <v>3</v>
      </c>
      <c r="C110" s="16">
        <v>2880</v>
      </c>
      <c r="D110" s="13" t="s">
        <v>199</v>
      </c>
      <c r="E110" s="2" t="s">
        <v>20</v>
      </c>
      <c r="F110" s="104"/>
      <c r="G110" s="4"/>
      <c r="H110" s="3" t="s">
        <v>410</v>
      </c>
      <c r="I110" s="4"/>
      <c r="J110" s="4"/>
    </row>
    <row r="111" spans="1:10">
      <c r="A111" s="1">
        <f t="shared" si="6"/>
        <v>101</v>
      </c>
      <c r="B111" s="6" t="s">
        <v>3</v>
      </c>
      <c r="C111" s="16" t="s">
        <v>166</v>
      </c>
      <c r="D111" s="13" t="s">
        <v>335</v>
      </c>
      <c r="E111" s="2" t="s">
        <v>20</v>
      </c>
      <c r="F111" s="104"/>
      <c r="G111" s="4"/>
      <c r="H111" s="3" t="s">
        <v>410</v>
      </c>
      <c r="I111" s="4"/>
      <c r="J111" s="4"/>
    </row>
    <row r="112" spans="1:10">
      <c r="A112" s="1">
        <f t="shared" si="6"/>
        <v>102</v>
      </c>
      <c r="B112" s="6" t="s">
        <v>3</v>
      </c>
      <c r="C112" s="16" t="s">
        <v>64</v>
      </c>
      <c r="D112" s="5" t="s">
        <v>65</v>
      </c>
      <c r="E112" s="2" t="s">
        <v>20</v>
      </c>
      <c r="F112" s="104"/>
      <c r="G112" s="4"/>
      <c r="H112" s="3" t="s">
        <v>410</v>
      </c>
      <c r="I112" s="4"/>
      <c r="J112" s="4"/>
    </row>
    <row r="113" spans="1:10">
      <c r="A113" s="1">
        <f t="shared" si="6"/>
        <v>103</v>
      </c>
      <c r="B113" s="67" t="s">
        <v>3</v>
      </c>
      <c r="C113" s="68" t="s">
        <v>282</v>
      </c>
      <c r="D113" s="69" t="s">
        <v>283</v>
      </c>
      <c r="E113" s="63" t="s">
        <v>268</v>
      </c>
      <c r="F113" s="104"/>
      <c r="G113" s="63"/>
      <c r="H113" s="3" t="s">
        <v>410</v>
      </c>
      <c r="I113" s="63"/>
      <c r="J113" s="63"/>
    </row>
    <row r="114" spans="1:10">
      <c r="A114" s="7">
        <f t="shared" si="6"/>
        <v>104</v>
      </c>
      <c r="B114" s="38" t="s">
        <v>3</v>
      </c>
      <c r="C114" s="39" t="s">
        <v>348</v>
      </c>
      <c r="D114" s="8" t="s">
        <v>349</v>
      </c>
      <c r="E114" s="9" t="s">
        <v>268</v>
      </c>
      <c r="F114" s="106"/>
      <c r="G114" s="9"/>
      <c r="H114" s="3" t="s">
        <v>410</v>
      </c>
      <c r="I114" s="9"/>
      <c r="J114" s="9"/>
    </row>
    <row r="115" spans="1:10">
      <c r="A115" s="22"/>
      <c r="B115" s="21"/>
      <c r="C115" s="47"/>
      <c r="D115" s="19"/>
      <c r="E115" s="54"/>
      <c r="F115" s="98"/>
      <c r="G115" s="48"/>
      <c r="H115" s="48"/>
      <c r="I115" s="48"/>
      <c r="J115" s="48"/>
    </row>
    <row r="116" spans="1:10">
      <c r="A116" s="32">
        <f>ROW()-11</f>
        <v>105</v>
      </c>
      <c r="B116" s="33" t="s">
        <v>3</v>
      </c>
      <c r="C116" s="44" t="s">
        <v>86</v>
      </c>
      <c r="D116" s="45" t="s">
        <v>87</v>
      </c>
      <c r="E116" s="46" t="s">
        <v>85</v>
      </c>
      <c r="F116" s="100" t="s">
        <v>378</v>
      </c>
      <c r="G116" s="46"/>
      <c r="H116" s="46" t="s">
        <v>410</v>
      </c>
      <c r="I116" s="46"/>
      <c r="J116" s="46"/>
    </row>
    <row r="117" spans="1:10">
      <c r="A117" s="1">
        <f>ROW()-11</f>
        <v>106</v>
      </c>
      <c r="B117" s="6" t="s">
        <v>3</v>
      </c>
      <c r="C117" s="16" t="s">
        <v>202</v>
      </c>
      <c r="D117" s="5" t="s">
        <v>201</v>
      </c>
      <c r="E117" s="4" t="s">
        <v>123</v>
      </c>
      <c r="F117" s="101"/>
      <c r="G117" s="4"/>
      <c r="H117" s="4" t="s">
        <v>383</v>
      </c>
      <c r="I117" s="4"/>
      <c r="J117" s="4"/>
    </row>
    <row r="118" spans="1:10">
      <c r="A118" s="1">
        <f t="shared" ref="A118:A120" si="7">ROW()-11</f>
        <v>107</v>
      </c>
      <c r="B118" s="6" t="s">
        <v>3</v>
      </c>
      <c r="C118" s="16" t="s">
        <v>105</v>
      </c>
      <c r="D118" s="5" t="s">
        <v>106</v>
      </c>
      <c r="E118" s="4" t="s">
        <v>130</v>
      </c>
      <c r="F118" s="101"/>
      <c r="G118" s="4"/>
      <c r="H118" s="4" t="s">
        <v>382</v>
      </c>
      <c r="I118" s="4"/>
      <c r="J118" s="4"/>
    </row>
    <row r="119" spans="1:10">
      <c r="A119" s="1">
        <f t="shared" si="7"/>
        <v>108</v>
      </c>
      <c r="B119" s="6" t="s">
        <v>3</v>
      </c>
      <c r="C119" s="16" t="s">
        <v>107</v>
      </c>
      <c r="D119" s="5" t="s">
        <v>108</v>
      </c>
      <c r="E119" s="4" t="s">
        <v>394</v>
      </c>
      <c r="F119" s="101"/>
      <c r="G119" s="4"/>
      <c r="H119" s="4" t="s">
        <v>382</v>
      </c>
      <c r="I119" s="4"/>
      <c r="J119" s="4"/>
    </row>
    <row r="120" spans="1:10">
      <c r="A120" s="7">
        <f t="shared" si="7"/>
        <v>109</v>
      </c>
      <c r="B120" s="38" t="s">
        <v>3</v>
      </c>
      <c r="C120" s="39" t="s">
        <v>155</v>
      </c>
      <c r="D120" s="12" t="s">
        <v>156</v>
      </c>
      <c r="E120" s="9" t="s">
        <v>102</v>
      </c>
      <c r="F120" s="102"/>
      <c r="G120" s="9"/>
      <c r="H120" s="9" t="s">
        <v>382</v>
      </c>
      <c r="I120" s="9"/>
      <c r="J120" s="9"/>
    </row>
    <row r="121" spans="1:10">
      <c r="A121" s="22"/>
      <c r="B121" s="21"/>
      <c r="C121" s="47"/>
      <c r="D121" s="56"/>
      <c r="E121" s="48"/>
      <c r="F121" s="98"/>
      <c r="G121" s="48"/>
      <c r="H121" s="48"/>
      <c r="I121" s="48"/>
      <c r="J121" s="48"/>
    </row>
    <row r="122" spans="1:10">
      <c r="A122" s="22"/>
      <c r="B122" s="21"/>
      <c r="C122" s="47"/>
      <c r="D122" s="56"/>
      <c r="E122" s="48"/>
      <c r="F122" s="98"/>
      <c r="G122" s="48"/>
      <c r="H122" s="48"/>
      <c r="I122" s="48"/>
      <c r="J122" s="48"/>
    </row>
    <row r="123" spans="1:10">
      <c r="A123" s="32">
        <f>ROW()-12</f>
        <v>111</v>
      </c>
      <c r="B123" s="33" t="s">
        <v>3</v>
      </c>
      <c r="C123" s="44" t="s">
        <v>38</v>
      </c>
      <c r="D123" s="45" t="s">
        <v>39</v>
      </c>
      <c r="E123" s="45" t="s">
        <v>387</v>
      </c>
      <c r="F123" s="100" t="s">
        <v>4</v>
      </c>
      <c r="G123" s="46"/>
      <c r="H123" s="46" t="s">
        <v>409</v>
      </c>
      <c r="I123" s="46"/>
      <c r="J123" s="46"/>
    </row>
    <row r="124" spans="1:10">
      <c r="A124" s="7">
        <f>ROW()-12</f>
        <v>112</v>
      </c>
      <c r="B124" s="38" t="s">
        <v>3</v>
      </c>
      <c r="C124" s="39" t="s">
        <v>5</v>
      </c>
      <c r="D124" s="9" t="s">
        <v>6</v>
      </c>
      <c r="E124" s="9" t="s">
        <v>393</v>
      </c>
      <c r="F124" s="98"/>
      <c r="G124" s="48"/>
      <c r="H124" s="48"/>
      <c r="I124" s="48"/>
      <c r="J124" s="48"/>
    </row>
    <row r="125" spans="1:10">
      <c r="A125" s="7"/>
      <c r="B125" s="38"/>
      <c r="C125" s="39"/>
      <c r="D125" s="9"/>
      <c r="E125" s="9"/>
      <c r="F125" s="98"/>
      <c r="G125" s="48"/>
      <c r="H125" s="48"/>
      <c r="I125" s="48"/>
      <c r="J125" s="48"/>
    </row>
    <row r="126" spans="1:10" ht="15" customHeight="1">
      <c r="A126" s="32">
        <f>ROW()-13</f>
        <v>113</v>
      </c>
      <c r="B126" s="33" t="s">
        <v>3</v>
      </c>
      <c r="C126" s="44" t="s">
        <v>81</v>
      </c>
      <c r="D126" s="45" t="s">
        <v>82</v>
      </c>
      <c r="E126" s="46" t="s">
        <v>389</v>
      </c>
      <c r="F126" s="117" t="s">
        <v>400</v>
      </c>
      <c r="G126" s="46"/>
      <c r="H126" s="46" t="s">
        <v>382</v>
      </c>
      <c r="I126" s="46"/>
      <c r="J126" s="46"/>
    </row>
    <row r="127" spans="1:10">
      <c r="A127" s="1">
        <f t="shared" ref="A127:A131" si="8">ROW()-13</f>
        <v>114</v>
      </c>
      <c r="B127" s="6" t="s">
        <v>3</v>
      </c>
      <c r="C127" s="16" t="s">
        <v>98</v>
      </c>
      <c r="D127" s="5" t="s">
        <v>99</v>
      </c>
      <c r="E127" s="4" t="s">
        <v>100</v>
      </c>
      <c r="F127" s="101"/>
      <c r="G127" s="4"/>
      <c r="H127" s="4" t="s">
        <v>382</v>
      </c>
      <c r="I127" s="4"/>
      <c r="J127" s="4"/>
    </row>
    <row r="128" spans="1:10">
      <c r="A128" s="1">
        <f t="shared" si="8"/>
        <v>115</v>
      </c>
      <c r="B128" s="6" t="s">
        <v>3</v>
      </c>
      <c r="C128" s="16" t="s">
        <v>96</v>
      </c>
      <c r="D128" s="5" t="s">
        <v>97</v>
      </c>
      <c r="E128" s="4" t="s">
        <v>95</v>
      </c>
      <c r="F128" s="101"/>
      <c r="G128" s="4"/>
      <c r="H128" s="4" t="s">
        <v>382</v>
      </c>
      <c r="I128" s="4"/>
      <c r="J128" s="4"/>
    </row>
    <row r="129" spans="1:10">
      <c r="A129" s="1">
        <f t="shared" si="8"/>
        <v>116</v>
      </c>
      <c r="B129" s="6" t="s">
        <v>3</v>
      </c>
      <c r="C129" s="16" t="s">
        <v>93</v>
      </c>
      <c r="D129" s="5" t="s">
        <v>94</v>
      </c>
      <c r="E129" s="4" t="s">
        <v>95</v>
      </c>
      <c r="F129" s="101"/>
      <c r="G129" s="4"/>
      <c r="H129" s="4" t="s">
        <v>382</v>
      </c>
      <c r="I129" s="4"/>
      <c r="J129" s="4"/>
    </row>
    <row r="130" spans="1:10">
      <c r="A130" s="1">
        <f t="shared" si="8"/>
        <v>117</v>
      </c>
      <c r="B130" s="6" t="s">
        <v>3</v>
      </c>
      <c r="C130" s="16" t="s">
        <v>79</v>
      </c>
      <c r="D130" s="5" t="s">
        <v>80</v>
      </c>
      <c r="E130" s="4" t="s">
        <v>392</v>
      </c>
      <c r="F130" s="101"/>
      <c r="G130" s="4"/>
      <c r="H130" s="4" t="s">
        <v>382</v>
      </c>
      <c r="I130" s="4"/>
      <c r="J130" s="4"/>
    </row>
    <row r="131" spans="1:10">
      <c r="A131" s="7">
        <f t="shared" si="8"/>
        <v>118</v>
      </c>
      <c r="B131" s="38" t="s">
        <v>3</v>
      </c>
      <c r="C131" s="39" t="s">
        <v>251</v>
      </c>
      <c r="D131" s="8" t="s">
        <v>252</v>
      </c>
      <c r="E131" s="57" t="s">
        <v>190</v>
      </c>
      <c r="F131" s="102"/>
      <c r="G131" s="9"/>
      <c r="H131" s="9" t="s">
        <v>381</v>
      </c>
      <c r="I131" s="9"/>
      <c r="J131" s="9"/>
    </row>
    <row r="132" spans="1:10">
      <c r="A132" s="22"/>
      <c r="B132" s="21"/>
      <c r="C132" s="47"/>
      <c r="D132" s="19"/>
      <c r="E132" s="58"/>
      <c r="F132" s="98"/>
      <c r="G132" s="48"/>
      <c r="H132" s="48"/>
      <c r="I132" s="48"/>
      <c r="J132" s="48"/>
    </row>
    <row r="133" spans="1:10" ht="15" customHeight="1">
      <c r="A133" s="32">
        <f>ROW()-14</f>
        <v>119</v>
      </c>
      <c r="B133" s="33" t="s">
        <v>3</v>
      </c>
      <c r="C133" s="44" t="s">
        <v>88</v>
      </c>
      <c r="D133" s="45" t="s">
        <v>89</v>
      </c>
      <c r="E133" s="46" t="s">
        <v>90</v>
      </c>
      <c r="F133" s="116" t="s">
        <v>274</v>
      </c>
      <c r="G133" s="46"/>
      <c r="H133" s="46" t="s">
        <v>383</v>
      </c>
      <c r="I133" s="46"/>
      <c r="J133" s="46"/>
    </row>
    <row r="134" spans="1:10">
      <c r="A134" s="1">
        <f>ROW()-14</f>
        <v>120</v>
      </c>
      <c r="B134" s="6" t="s">
        <v>3</v>
      </c>
      <c r="C134" s="16" t="s">
        <v>184</v>
      </c>
      <c r="D134" s="5" t="s">
        <v>183</v>
      </c>
      <c r="E134" s="62" t="s">
        <v>189</v>
      </c>
      <c r="F134" s="107"/>
      <c r="G134" s="4"/>
      <c r="H134" s="4" t="s">
        <v>383</v>
      </c>
      <c r="I134" s="4"/>
      <c r="J134" s="4"/>
    </row>
    <row r="135" spans="1:10">
      <c r="A135" s="1">
        <f t="shared" ref="A135:A139" si="9">ROW()-14</f>
        <v>121</v>
      </c>
      <c r="B135" s="6" t="s">
        <v>3</v>
      </c>
      <c r="C135" s="16" t="s">
        <v>111</v>
      </c>
      <c r="D135" s="5" t="s">
        <v>112</v>
      </c>
      <c r="E135" s="62" t="s">
        <v>319</v>
      </c>
      <c r="F135" s="107"/>
      <c r="G135" s="4"/>
      <c r="H135" s="4" t="s">
        <v>383</v>
      </c>
      <c r="I135" s="4"/>
      <c r="J135" s="4"/>
    </row>
    <row r="136" spans="1:10">
      <c r="A136" s="1">
        <f t="shared" si="9"/>
        <v>122</v>
      </c>
      <c r="B136" s="6" t="s">
        <v>3</v>
      </c>
      <c r="C136" s="16" t="s">
        <v>154</v>
      </c>
      <c r="D136" s="5" t="s">
        <v>153</v>
      </c>
      <c r="E136" s="62" t="s">
        <v>320</v>
      </c>
      <c r="F136" s="107"/>
      <c r="G136" s="4"/>
      <c r="H136" s="4" t="s">
        <v>383</v>
      </c>
      <c r="I136" s="4"/>
      <c r="J136" s="4"/>
    </row>
    <row r="137" spans="1:10">
      <c r="A137" s="1">
        <f t="shared" si="9"/>
        <v>123</v>
      </c>
      <c r="B137" s="6" t="s">
        <v>3</v>
      </c>
      <c r="C137" s="16" t="s">
        <v>170</v>
      </c>
      <c r="D137" s="15" t="s">
        <v>169</v>
      </c>
      <c r="E137" s="62" t="s">
        <v>275</v>
      </c>
      <c r="F137" s="107"/>
      <c r="G137" s="4"/>
      <c r="H137" s="4" t="s">
        <v>383</v>
      </c>
      <c r="I137" s="4"/>
      <c r="J137" s="4"/>
    </row>
    <row r="138" spans="1:10">
      <c r="A138" s="1">
        <f t="shared" si="9"/>
        <v>124</v>
      </c>
      <c r="B138" s="6" t="s">
        <v>3</v>
      </c>
      <c r="C138" s="16" t="s">
        <v>192</v>
      </c>
      <c r="D138" s="15" t="s">
        <v>191</v>
      </c>
      <c r="E138" s="62" t="s">
        <v>193</v>
      </c>
      <c r="F138" s="107"/>
      <c r="G138" s="4"/>
      <c r="H138" s="4" t="s">
        <v>383</v>
      </c>
      <c r="I138" s="4"/>
      <c r="J138" s="4"/>
    </row>
    <row r="139" spans="1:10">
      <c r="A139" s="7">
        <f t="shared" si="9"/>
        <v>125</v>
      </c>
      <c r="B139" s="38" t="s">
        <v>3</v>
      </c>
      <c r="C139" s="39" t="s">
        <v>249</v>
      </c>
      <c r="D139" s="8" t="s">
        <v>250</v>
      </c>
      <c r="E139" s="62" t="s">
        <v>320</v>
      </c>
      <c r="F139" s="108"/>
      <c r="G139" s="9"/>
      <c r="H139" s="9" t="s">
        <v>404</v>
      </c>
      <c r="I139" s="9"/>
      <c r="J139" s="9"/>
    </row>
    <row r="140" spans="1:10">
      <c r="A140" s="22"/>
      <c r="B140" s="21"/>
      <c r="C140" s="47"/>
      <c r="D140" s="19"/>
      <c r="E140" s="19"/>
      <c r="F140" s="98"/>
      <c r="G140" s="48"/>
      <c r="H140" s="48"/>
      <c r="I140" s="48"/>
      <c r="J140" s="48"/>
    </row>
    <row r="141" spans="1:10">
      <c r="A141" s="32">
        <f>ROW()-15</f>
        <v>126</v>
      </c>
      <c r="B141" s="33" t="s">
        <v>3</v>
      </c>
      <c r="C141" s="44" t="s">
        <v>103</v>
      </c>
      <c r="D141" s="45" t="s">
        <v>104</v>
      </c>
      <c r="E141" s="46" t="s">
        <v>102</v>
      </c>
      <c r="F141" s="97" t="s">
        <v>101</v>
      </c>
      <c r="G141" s="46"/>
      <c r="H141" s="46" t="s">
        <v>382</v>
      </c>
      <c r="I141" s="46"/>
      <c r="J141" s="46"/>
    </row>
    <row r="142" spans="1:10">
      <c r="A142" s="1">
        <f>ROW()-15</f>
        <v>127</v>
      </c>
      <c r="B142" s="6" t="s">
        <v>3</v>
      </c>
      <c r="C142" s="16" t="s">
        <v>150</v>
      </c>
      <c r="D142" s="5" t="s">
        <v>148</v>
      </c>
      <c r="E142" s="4" t="s">
        <v>102</v>
      </c>
      <c r="F142" s="98"/>
      <c r="G142" s="4"/>
      <c r="H142" s="4" t="s">
        <v>408</v>
      </c>
      <c r="I142" s="4"/>
      <c r="J142" s="4"/>
    </row>
    <row r="143" spans="1:10">
      <c r="A143" s="1">
        <f t="shared" ref="A143:A168" si="10">ROW()-15</f>
        <v>128</v>
      </c>
      <c r="B143" s="6" t="s">
        <v>3</v>
      </c>
      <c r="C143" s="16" t="s">
        <v>151</v>
      </c>
      <c r="D143" s="5" t="s">
        <v>149</v>
      </c>
      <c r="E143" s="4" t="s">
        <v>102</v>
      </c>
      <c r="F143" s="98"/>
      <c r="G143" s="4"/>
      <c r="H143" s="4" t="s">
        <v>408</v>
      </c>
      <c r="I143" s="4"/>
      <c r="J143" s="4"/>
    </row>
    <row r="144" spans="1:10">
      <c r="A144" s="1">
        <f t="shared" si="10"/>
        <v>129</v>
      </c>
      <c r="B144" s="6" t="s">
        <v>3</v>
      </c>
      <c r="C144" s="16" t="s">
        <v>234</v>
      </c>
      <c r="D144" s="5" t="s">
        <v>235</v>
      </c>
      <c r="E144" s="4" t="s">
        <v>102</v>
      </c>
      <c r="F144" s="98"/>
      <c r="G144" s="4"/>
      <c r="H144" s="4" t="s">
        <v>408</v>
      </c>
      <c r="I144" s="4"/>
      <c r="J144" s="4"/>
    </row>
    <row r="145" spans="1:10">
      <c r="A145" s="1">
        <f t="shared" si="10"/>
        <v>130</v>
      </c>
      <c r="B145" s="6" t="s">
        <v>3</v>
      </c>
      <c r="C145" s="16" t="s">
        <v>177</v>
      </c>
      <c r="D145" s="5" t="s">
        <v>236</v>
      </c>
      <c r="E145" s="4" t="s">
        <v>102</v>
      </c>
      <c r="F145" s="98"/>
      <c r="G145" s="4"/>
      <c r="H145" s="4" t="s">
        <v>408</v>
      </c>
      <c r="I145" s="4"/>
      <c r="J145" s="4"/>
    </row>
    <row r="146" spans="1:10">
      <c r="A146" s="1">
        <f t="shared" si="10"/>
        <v>131</v>
      </c>
      <c r="B146" s="6" t="s">
        <v>3</v>
      </c>
      <c r="C146" s="16" t="s">
        <v>178</v>
      </c>
      <c r="D146" s="5" t="s">
        <v>237</v>
      </c>
      <c r="E146" s="4" t="s">
        <v>102</v>
      </c>
      <c r="F146" s="98"/>
      <c r="G146" s="4"/>
      <c r="H146" s="4" t="s">
        <v>408</v>
      </c>
      <c r="I146" s="4"/>
      <c r="J146" s="4"/>
    </row>
    <row r="147" spans="1:10" ht="13.5" customHeight="1">
      <c r="A147" s="1">
        <f t="shared" si="10"/>
        <v>132</v>
      </c>
      <c r="B147" s="6" t="s">
        <v>3</v>
      </c>
      <c r="C147" s="16" t="s">
        <v>179</v>
      </c>
      <c r="D147" s="5" t="s">
        <v>238</v>
      </c>
      <c r="E147" s="4" t="s">
        <v>102</v>
      </c>
      <c r="F147" s="98"/>
      <c r="G147" s="4"/>
      <c r="H147" s="4" t="s">
        <v>408</v>
      </c>
      <c r="I147" s="4"/>
      <c r="J147" s="4"/>
    </row>
    <row r="148" spans="1:10">
      <c r="A148" s="1">
        <f t="shared" si="10"/>
        <v>133</v>
      </c>
      <c r="B148" s="6" t="s">
        <v>3</v>
      </c>
      <c r="C148" s="16" t="s">
        <v>239</v>
      </c>
      <c r="D148" s="5" t="s">
        <v>240</v>
      </c>
      <c r="E148" s="4" t="s">
        <v>102</v>
      </c>
      <c r="F148" s="98"/>
      <c r="G148" s="4"/>
      <c r="H148" s="4" t="s">
        <v>408</v>
      </c>
      <c r="I148" s="4"/>
      <c r="J148" s="4"/>
    </row>
    <row r="149" spans="1:10">
      <c r="A149" s="1">
        <f t="shared" si="10"/>
        <v>134</v>
      </c>
      <c r="B149" s="6" t="s">
        <v>3</v>
      </c>
      <c r="C149" s="16" t="s">
        <v>241</v>
      </c>
      <c r="D149" s="5" t="s">
        <v>242</v>
      </c>
      <c r="E149" s="4" t="s">
        <v>102</v>
      </c>
      <c r="F149" s="98"/>
      <c r="G149" s="4"/>
      <c r="H149" s="4" t="s">
        <v>408</v>
      </c>
      <c r="I149" s="4"/>
      <c r="J149" s="4"/>
    </row>
    <row r="150" spans="1:10">
      <c r="A150" s="1">
        <f t="shared" si="10"/>
        <v>135</v>
      </c>
      <c r="B150" s="6" t="s">
        <v>3</v>
      </c>
      <c r="C150" s="16" t="s">
        <v>243</v>
      </c>
      <c r="D150" s="5" t="s">
        <v>188</v>
      </c>
      <c r="E150" s="4" t="s">
        <v>102</v>
      </c>
      <c r="F150" s="98"/>
      <c r="G150" s="4"/>
      <c r="H150" s="4" t="s">
        <v>408</v>
      </c>
      <c r="I150" s="4"/>
      <c r="J150" s="4"/>
    </row>
    <row r="151" spans="1:10">
      <c r="A151" s="1">
        <f t="shared" si="10"/>
        <v>136</v>
      </c>
      <c r="B151" s="6" t="s">
        <v>3</v>
      </c>
      <c r="C151" s="16" t="s">
        <v>244</v>
      </c>
      <c r="D151" s="5" t="s">
        <v>196</v>
      </c>
      <c r="E151" s="4" t="s">
        <v>102</v>
      </c>
      <c r="F151" s="98"/>
      <c r="G151" s="4"/>
      <c r="H151" s="4" t="s">
        <v>408</v>
      </c>
      <c r="I151" s="4"/>
      <c r="J151" s="4"/>
    </row>
    <row r="152" spans="1:10">
      <c r="A152" s="1">
        <f t="shared" si="10"/>
        <v>137</v>
      </c>
      <c r="B152" s="6" t="s">
        <v>3</v>
      </c>
      <c r="C152" s="16" t="s">
        <v>245</v>
      </c>
      <c r="D152" s="5" t="s">
        <v>197</v>
      </c>
      <c r="E152" s="4" t="s">
        <v>102</v>
      </c>
      <c r="F152" s="98"/>
      <c r="G152" s="4"/>
      <c r="H152" s="4" t="s">
        <v>406</v>
      </c>
      <c r="I152" s="4"/>
      <c r="J152" s="4"/>
    </row>
    <row r="153" spans="1:10">
      <c r="A153" s="1">
        <f t="shared" si="10"/>
        <v>138</v>
      </c>
      <c r="B153" s="6" t="s">
        <v>3</v>
      </c>
      <c r="C153" s="16" t="s">
        <v>246</v>
      </c>
      <c r="D153" s="5" t="s">
        <v>198</v>
      </c>
      <c r="E153" s="4" t="s">
        <v>102</v>
      </c>
      <c r="F153" s="98"/>
      <c r="G153" s="4"/>
      <c r="H153" s="4" t="s">
        <v>406</v>
      </c>
      <c r="I153" s="4"/>
      <c r="J153" s="4"/>
    </row>
    <row r="154" spans="1:10" ht="13.5" customHeight="1">
      <c r="A154" s="1">
        <f t="shared" si="10"/>
        <v>139</v>
      </c>
      <c r="B154" s="6" t="s">
        <v>3</v>
      </c>
      <c r="C154" s="16" t="s">
        <v>247</v>
      </c>
      <c r="D154" s="5" t="s">
        <v>248</v>
      </c>
      <c r="E154" s="4" t="s">
        <v>102</v>
      </c>
      <c r="F154" s="98"/>
      <c r="G154" s="4"/>
      <c r="H154" s="4" t="s">
        <v>406</v>
      </c>
      <c r="I154" s="4"/>
      <c r="J154" s="4"/>
    </row>
    <row r="155" spans="1:10" ht="13.5" customHeight="1">
      <c r="A155" s="1">
        <f t="shared" si="10"/>
        <v>140</v>
      </c>
      <c r="B155" s="6" t="s">
        <v>3</v>
      </c>
      <c r="C155" s="16" t="s">
        <v>256</v>
      </c>
      <c r="D155" s="5" t="s">
        <v>257</v>
      </c>
      <c r="E155" s="4" t="s">
        <v>102</v>
      </c>
      <c r="F155" s="98"/>
      <c r="G155" s="4"/>
      <c r="H155" s="4" t="s">
        <v>406</v>
      </c>
      <c r="I155" s="4"/>
      <c r="J155" s="4"/>
    </row>
    <row r="156" spans="1:10" ht="13.5" customHeight="1">
      <c r="A156" s="1">
        <f t="shared" si="10"/>
        <v>141</v>
      </c>
      <c r="B156" s="6" t="s">
        <v>3</v>
      </c>
      <c r="C156" s="16" t="s">
        <v>258</v>
      </c>
      <c r="D156" s="5" t="s">
        <v>259</v>
      </c>
      <c r="E156" s="4" t="s">
        <v>102</v>
      </c>
      <c r="F156" s="98"/>
      <c r="G156" s="4"/>
      <c r="H156" s="4" t="s">
        <v>406</v>
      </c>
      <c r="I156" s="4"/>
      <c r="J156" s="4"/>
    </row>
    <row r="157" spans="1:10" ht="13.5" customHeight="1">
      <c r="A157" s="1">
        <f t="shared" si="10"/>
        <v>142</v>
      </c>
      <c r="B157" s="6" t="s">
        <v>3</v>
      </c>
      <c r="C157" s="16" t="s">
        <v>262</v>
      </c>
      <c r="D157" s="5" t="s">
        <v>264</v>
      </c>
      <c r="E157" s="4" t="s">
        <v>102</v>
      </c>
      <c r="F157" s="98"/>
      <c r="G157" s="4"/>
      <c r="H157" s="4" t="s">
        <v>406</v>
      </c>
      <c r="I157" s="4"/>
      <c r="J157" s="4"/>
    </row>
    <row r="158" spans="1:10">
      <c r="A158" s="1">
        <f t="shared" si="10"/>
        <v>143</v>
      </c>
      <c r="B158" s="6" t="s">
        <v>3</v>
      </c>
      <c r="C158" s="16" t="s">
        <v>263</v>
      </c>
      <c r="D158" s="5" t="s">
        <v>265</v>
      </c>
      <c r="E158" s="4" t="s">
        <v>102</v>
      </c>
      <c r="F158" s="98"/>
      <c r="G158" s="4"/>
      <c r="H158" s="4" t="s">
        <v>406</v>
      </c>
      <c r="I158" s="4"/>
      <c r="J158" s="4"/>
    </row>
    <row r="159" spans="1:10">
      <c r="A159" s="1">
        <f t="shared" si="10"/>
        <v>144</v>
      </c>
      <c r="B159" s="6" t="s">
        <v>3</v>
      </c>
      <c r="C159" s="16" t="s">
        <v>276</v>
      </c>
      <c r="D159" s="5" t="s">
        <v>270</v>
      </c>
      <c r="E159" s="4" t="s">
        <v>102</v>
      </c>
      <c r="F159" s="98"/>
      <c r="G159" s="4"/>
      <c r="H159" s="4" t="s">
        <v>406</v>
      </c>
      <c r="I159" s="4"/>
      <c r="J159" s="4"/>
    </row>
    <row r="160" spans="1:10">
      <c r="A160" s="1">
        <f t="shared" si="10"/>
        <v>145</v>
      </c>
      <c r="B160" s="6" t="s">
        <v>3</v>
      </c>
      <c r="C160" s="16" t="s">
        <v>269</v>
      </c>
      <c r="D160" s="5" t="s">
        <v>271</v>
      </c>
      <c r="E160" s="4" t="s">
        <v>102</v>
      </c>
      <c r="F160" s="98"/>
      <c r="G160" s="4"/>
      <c r="H160" s="4" t="s">
        <v>406</v>
      </c>
      <c r="I160" s="4"/>
      <c r="J160" s="4"/>
    </row>
    <row r="161" spans="1:10">
      <c r="A161" s="1">
        <f t="shared" si="10"/>
        <v>146</v>
      </c>
      <c r="B161" s="6" t="s">
        <v>3</v>
      </c>
      <c r="C161" s="16" t="s">
        <v>277</v>
      </c>
      <c r="D161" s="5" t="s">
        <v>278</v>
      </c>
      <c r="E161" s="4" t="s">
        <v>102</v>
      </c>
      <c r="F161" s="98"/>
      <c r="G161" s="4"/>
      <c r="H161" s="4" t="s">
        <v>406</v>
      </c>
      <c r="I161" s="4"/>
      <c r="J161" s="4"/>
    </row>
    <row r="162" spans="1:10">
      <c r="A162" s="1">
        <f t="shared" si="10"/>
        <v>147</v>
      </c>
      <c r="B162" s="6" t="s">
        <v>3</v>
      </c>
      <c r="C162" s="16" t="s">
        <v>280</v>
      </c>
      <c r="D162" s="5" t="s">
        <v>281</v>
      </c>
      <c r="E162" s="4" t="s">
        <v>102</v>
      </c>
      <c r="F162" s="98"/>
      <c r="G162" s="4"/>
      <c r="H162" s="4" t="s">
        <v>406</v>
      </c>
      <c r="I162" s="4"/>
      <c r="J162" s="4"/>
    </row>
    <row r="163" spans="1:10" ht="13.5" customHeight="1">
      <c r="A163" s="1">
        <f t="shared" si="10"/>
        <v>148</v>
      </c>
      <c r="B163" s="67" t="s">
        <v>3</v>
      </c>
      <c r="C163" s="16" t="s">
        <v>324</v>
      </c>
      <c r="D163" s="5" t="s">
        <v>325</v>
      </c>
      <c r="E163" s="4" t="s">
        <v>102</v>
      </c>
      <c r="F163" s="98"/>
      <c r="G163" s="4"/>
      <c r="H163" s="4" t="s">
        <v>406</v>
      </c>
      <c r="I163" s="4"/>
      <c r="J163" s="4"/>
    </row>
    <row r="164" spans="1:10" ht="13.5" customHeight="1">
      <c r="A164" s="1">
        <f t="shared" si="10"/>
        <v>149</v>
      </c>
      <c r="B164" s="6" t="s">
        <v>3</v>
      </c>
      <c r="C164" s="16" t="s">
        <v>346</v>
      </c>
      <c r="D164" s="5" t="s">
        <v>347</v>
      </c>
      <c r="E164" s="4" t="s">
        <v>102</v>
      </c>
      <c r="F164" s="98"/>
      <c r="G164" s="4"/>
      <c r="H164" s="4" t="s">
        <v>406</v>
      </c>
      <c r="I164" s="4"/>
      <c r="J164" s="4"/>
    </row>
    <row r="165" spans="1:10" ht="13.5" customHeight="1">
      <c r="A165" s="1">
        <f t="shared" si="10"/>
        <v>150</v>
      </c>
      <c r="B165" s="6" t="s">
        <v>3</v>
      </c>
      <c r="C165" s="16" t="s">
        <v>339</v>
      </c>
      <c r="D165" s="5" t="s">
        <v>338</v>
      </c>
      <c r="E165" s="4" t="s">
        <v>102</v>
      </c>
      <c r="F165" s="98"/>
      <c r="G165" s="4"/>
      <c r="H165" s="4" t="s">
        <v>406</v>
      </c>
      <c r="I165" s="4"/>
      <c r="J165" s="4"/>
    </row>
    <row r="166" spans="1:10" s="75" customFormat="1" ht="13.5" customHeight="1">
      <c r="A166" s="1">
        <f t="shared" si="10"/>
        <v>151</v>
      </c>
      <c r="B166" s="6" t="s">
        <v>3</v>
      </c>
      <c r="C166" s="16" t="s">
        <v>353</v>
      </c>
      <c r="D166" s="5" t="s">
        <v>354</v>
      </c>
      <c r="E166" s="4" t="s">
        <v>102</v>
      </c>
      <c r="F166" s="98"/>
      <c r="G166" s="4"/>
      <c r="H166" s="4" t="s">
        <v>406</v>
      </c>
      <c r="I166" s="4"/>
      <c r="J166" s="4"/>
    </row>
    <row r="167" spans="1:10" ht="13.5" customHeight="1">
      <c r="A167" s="1">
        <f t="shared" si="10"/>
        <v>152</v>
      </c>
      <c r="B167" s="6" t="s">
        <v>3</v>
      </c>
      <c r="C167" s="16" t="s">
        <v>356</v>
      </c>
      <c r="D167" s="5" t="s">
        <v>357</v>
      </c>
      <c r="E167" s="4" t="s">
        <v>102</v>
      </c>
      <c r="F167" s="98"/>
      <c r="G167" s="4"/>
      <c r="H167" s="4" t="s">
        <v>406</v>
      </c>
      <c r="I167" s="4"/>
      <c r="J167" s="4"/>
    </row>
    <row r="168" spans="1:10" s="75" customFormat="1" ht="13.5" customHeight="1">
      <c r="A168" s="7">
        <f t="shared" si="10"/>
        <v>153</v>
      </c>
      <c r="B168" s="38" t="s">
        <v>3</v>
      </c>
      <c r="C168" s="39" t="s">
        <v>358</v>
      </c>
      <c r="D168" s="8" t="s">
        <v>359</v>
      </c>
      <c r="E168" s="9" t="s">
        <v>102</v>
      </c>
      <c r="F168" s="99"/>
      <c r="G168" s="9"/>
      <c r="H168" s="9" t="s">
        <v>382</v>
      </c>
      <c r="I168" s="9"/>
      <c r="J168" s="9"/>
    </row>
    <row r="169" spans="1:10" ht="13.5" customHeight="1">
      <c r="A169" s="22"/>
      <c r="B169" s="21"/>
      <c r="C169" s="47"/>
      <c r="D169" s="19"/>
      <c r="E169" s="19"/>
      <c r="F169" s="98" t="s">
        <v>317</v>
      </c>
      <c r="G169" s="48" t="s">
        <v>336</v>
      </c>
      <c r="H169" s="48" t="s">
        <v>382</v>
      </c>
      <c r="I169" s="48"/>
      <c r="J169" s="48"/>
    </row>
    <row r="170" spans="1:10" ht="13.5" customHeight="1">
      <c r="A170" s="32">
        <f>ROW()-16</f>
        <v>154</v>
      </c>
      <c r="B170" s="33" t="s">
        <v>3</v>
      </c>
      <c r="C170" s="59">
        <v>1813</v>
      </c>
      <c r="D170" s="60" t="s">
        <v>298</v>
      </c>
      <c r="E170" s="61" t="s">
        <v>27</v>
      </c>
      <c r="F170" s="98"/>
      <c r="G170" s="5" t="s">
        <v>336</v>
      </c>
      <c r="H170" s="5" t="s">
        <v>382</v>
      </c>
      <c r="I170" s="5"/>
      <c r="J170" s="5"/>
    </row>
    <row r="171" spans="1:10" ht="13.5" customHeight="1">
      <c r="A171" s="1">
        <f>ROW()-16</f>
        <v>155</v>
      </c>
      <c r="B171" s="6" t="s">
        <v>3</v>
      </c>
      <c r="C171" s="24">
        <v>2081</v>
      </c>
      <c r="D171" s="23" t="s">
        <v>299</v>
      </c>
      <c r="E171" s="26" t="s">
        <v>47</v>
      </c>
      <c r="F171" s="98"/>
      <c r="G171" s="5" t="s">
        <v>336</v>
      </c>
      <c r="H171" s="5" t="s">
        <v>382</v>
      </c>
      <c r="I171" s="5"/>
      <c r="J171" s="5"/>
    </row>
    <row r="172" spans="1:10">
      <c r="A172" s="1">
        <f t="shared" ref="A172:A189" si="11">ROW()-16</f>
        <v>156</v>
      </c>
      <c r="B172" s="6" t="s">
        <v>3</v>
      </c>
      <c r="C172" s="24">
        <v>2082</v>
      </c>
      <c r="D172" s="23" t="s">
        <v>300</v>
      </c>
      <c r="E172" s="26" t="s">
        <v>47</v>
      </c>
      <c r="F172" s="98"/>
      <c r="G172" s="5" t="s">
        <v>336</v>
      </c>
      <c r="H172" s="5" t="s">
        <v>382</v>
      </c>
      <c r="I172" s="5"/>
      <c r="J172" s="5"/>
    </row>
    <row r="173" spans="1:10">
      <c r="A173" s="1">
        <f t="shared" si="11"/>
        <v>157</v>
      </c>
      <c r="B173" s="6" t="s">
        <v>3</v>
      </c>
      <c r="C173" s="24">
        <v>1816</v>
      </c>
      <c r="D173" s="23" t="s">
        <v>301</v>
      </c>
      <c r="E173" s="26" t="s">
        <v>27</v>
      </c>
      <c r="F173" s="98"/>
      <c r="G173" s="5" t="s">
        <v>336</v>
      </c>
      <c r="H173" s="5" t="s">
        <v>382</v>
      </c>
      <c r="I173" s="5"/>
      <c r="J173" s="5"/>
    </row>
    <row r="174" spans="1:10">
      <c r="A174" s="1">
        <f t="shared" si="11"/>
        <v>158</v>
      </c>
      <c r="B174" s="6" t="s">
        <v>3</v>
      </c>
      <c r="C174" s="24">
        <v>1814</v>
      </c>
      <c r="D174" s="23" t="s">
        <v>302</v>
      </c>
      <c r="E174" s="26" t="s">
        <v>27</v>
      </c>
      <c r="F174" s="98"/>
      <c r="G174" s="5" t="s">
        <v>336</v>
      </c>
      <c r="H174" s="5" t="s">
        <v>382</v>
      </c>
      <c r="I174" s="5"/>
      <c r="J174" s="5"/>
    </row>
    <row r="175" spans="1:10">
      <c r="A175" s="1">
        <f t="shared" si="11"/>
        <v>159</v>
      </c>
      <c r="B175" s="6" t="s">
        <v>3</v>
      </c>
      <c r="C175" s="24">
        <v>2080</v>
      </c>
      <c r="D175" s="23" t="s">
        <v>303</v>
      </c>
      <c r="E175" s="26" t="s">
        <v>47</v>
      </c>
      <c r="F175" s="98"/>
      <c r="G175" s="5" t="s">
        <v>336</v>
      </c>
      <c r="H175" s="5" t="s">
        <v>382</v>
      </c>
      <c r="I175" s="5"/>
      <c r="J175" s="5"/>
    </row>
    <row r="176" spans="1:10">
      <c r="A176" s="1">
        <f t="shared" si="11"/>
        <v>160</v>
      </c>
      <c r="B176" s="6" t="s">
        <v>3</v>
      </c>
      <c r="C176" s="24">
        <v>1815</v>
      </c>
      <c r="D176" s="23" t="s">
        <v>304</v>
      </c>
      <c r="E176" s="26" t="s">
        <v>27</v>
      </c>
      <c r="F176" s="98"/>
      <c r="G176" s="5" t="s">
        <v>336</v>
      </c>
      <c r="H176" s="5" t="s">
        <v>382</v>
      </c>
      <c r="I176" s="5"/>
      <c r="J176" s="5"/>
    </row>
    <row r="177" spans="1:10">
      <c r="A177" s="1">
        <f t="shared" si="11"/>
        <v>161</v>
      </c>
      <c r="B177" s="6" t="s">
        <v>3</v>
      </c>
      <c r="C177" s="24">
        <v>2079</v>
      </c>
      <c r="D177" s="23" t="s">
        <v>305</v>
      </c>
      <c r="E177" s="26" t="s">
        <v>47</v>
      </c>
      <c r="F177" s="98"/>
      <c r="G177" s="5" t="s">
        <v>336</v>
      </c>
      <c r="H177" s="5" t="s">
        <v>382</v>
      </c>
      <c r="I177" s="5"/>
      <c r="J177" s="5"/>
    </row>
    <row r="178" spans="1:10">
      <c r="A178" s="1">
        <f t="shared" si="11"/>
        <v>162</v>
      </c>
      <c r="B178" s="6" t="s">
        <v>3</v>
      </c>
      <c r="C178" s="24">
        <v>1817</v>
      </c>
      <c r="D178" s="23" t="s">
        <v>306</v>
      </c>
      <c r="E178" s="26" t="s">
        <v>27</v>
      </c>
      <c r="F178" s="98"/>
      <c r="G178" s="5" t="s">
        <v>336</v>
      </c>
      <c r="H178" s="5" t="s">
        <v>382</v>
      </c>
      <c r="I178" s="5"/>
      <c r="J178" s="5"/>
    </row>
    <row r="179" spans="1:10">
      <c r="A179" s="1">
        <f t="shared" si="11"/>
        <v>163</v>
      </c>
      <c r="B179" s="6" t="s">
        <v>3</v>
      </c>
      <c r="C179" s="24">
        <v>5503</v>
      </c>
      <c r="D179" s="23" t="s">
        <v>391</v>
      </c>
      <c r="E179" s="26" t="s">
        <v>27</v>
      </c>
      <c r="F179" s="98"/>
      <c r="G179" s="5" t="s">
        <v>337</v>
      </c>
      <c r="H179" s="5" t="s">
        <v>382</v>
      </c>
      <c r="I179" s="5"/>
      <c r="J179" s="5"/>
    </row>
    <row r="180" spans="1:10">
      <c r="A180" s="1">
        <f t="shared" si="11"/>
        <v>164</v>
      </c>
      <c r="B180" s="6" t="s">
        <v>3</v>
      </c>
      <c r="C180" s="24">
        <v>3030</v>
      </c>
      <c r="D180" s="23" t="s">
        <v>390</v>
      </c>
      <c r="E180" s="26" t="s">
        <v>313</v>
      </c>
      <c r="F180" s="98"/>
      <c r="G180" s="5" t="s">
        <v>337</v>
      </c>
      <c r="H180" s="5" t="s">
        <v>382</v>
      </c>
      <c r="I180" s="5"/>
      <c r="J180" s="5"/>
    </row>
    <row r="181" spans="1:10">
      <c r="A181" s="1">
        <f t="shared" si="11"/>
        <v>165</v>
      </c>
      <c r="B181" s="6" t="s">
        <v>3</v>
      </c>
      <c r="C181" s="24">
        <v>3031</v>
      </c>
      <c r="D181" s="23" t="s">
        <v>307</v>
      </c>
      <c r="E181" s="26" t="s">
        <v>313</v>
      </c>
      <c r="F181" s="98"/>
      <c r="G181" s="5" t="s">
        <v>337</v>
      </c>
      <c r="H181" s="5" t="s">
        <v>382</v>
      </c>
      <c r="I181" s="5"/>
      <c r="J181" s="5"/>
    </row>
    <row r="182" spans="1:10" ht="13.5" customHeight="1">
      <c r="A182" s="1">
        <f t="shared" si="11"/>
        <v>166</v>
      </c>
      <c r="B182" s="6" t="s">
        <v>3</v>
      </c>
      <c r="C182" s="24">
        <v>3033</v>
      </c>
      <c r="D182" s="25" t="s">
        <v>308</v>
      </c>
      <c r="E182" s="26" t="s">
        <v>314</v>
      </c>
      <c r="F182" s="98"/>
      <c r="G182" s="5" t="s">
        <v>337</v>
      </c>
      <c r="H182" s="5" t="s">
        <v>382</v>
      </c>
      <c r="I182" s="5"/>
      <c r="J182" s="5"/>
    </row>
    <row r="183" spans="1:10" ht="30">
      <c r="A183" s="1">
        <f t="shared" si="11"/>
        <v>167</v>
      </c>
      <c r="B183" s="6" t="s">
        <v>3</v>
      </c>
      <c r="C183" s="24">
        <v>3035</v>
      </c>
      <c r="D183" s="25" t="s">
        <v>309</v>
      </c>
      <c r="E183" s="26" t="s">
        <v>313</v>
      </c>
      <c r="F183" s="98"/>
      <c r="G183" s="5" t="s">
        <v>337</v>
      </c>
      <c r="H183" s="5" t="s">
        <v>410</v>
      </c>
      <c r="I183" s="5"/>
      <c r="J183" s="5"/>
    </row>
    <row r="184" spans="1:10">
      <c r="A184" s="1">
        <f t="shared" si="11"/>
        <v>168</v>
      </c>
      <c r="B184" s="6" t="s">
        <v>3</v>
      </c>
      <c r="C184" s="24">
        <v>3042</v>
      </c>
      <c r="D184" s="25" t="s">
        <v>310</v>
      </c>
      <c r="E184" s="26" t="s">
        <v>316</v>
      </c>
      <c r="F184" s="98"/>
      <c r="G184" s="5" t="s">
        <v>337</v>
      </c>
      <c r="H184" s="5" t="s">
        <v>410</v>
      </c>
      <c r="I184" s="5"/>
      <c r="J184" s="5"/>
    </row>
    <row r="185" spans="1:10">
      <c r="A185" s="1">
        <f t="shared" si="11"/>
        <v>169</v>
      </c>
      <c r="B185" s="6" t="s">
        <v>3</v>
      </c>
      <c r="C185" s="24">
        <v>3043</v>
      </c>
      <c r="D185" s="25" t="s">
        <v>311</v>
      </c>
      <c r="E185" s="26" t="s">
        <v>47</v>
      </c>
      <c r="F185" s="98"/>
      <c r="G185" s="5" t="s">
        <v>337</v>
      </c>
      <c r="H185" s="5" t="s">
        <v>410</v>
      </c>
      <c r="I185" s="5"/>
      <c r="J185" s="5"/>
    </row>
    <row r="186" spans="1:10" s="73" customFormat="1">
      <c r="A186" s="1">
        <f t="shared" si="11"/>
        <v>170</v>
      </c>
      <c r="B186" s="6" t="s">
        <v>3</v>
      </c>
      <c r="C186" s="24">
        <v>3039</v>
      </c>
      <c r="D186" s="25" t="s">
        <v>312</v>
      </c>
      <c r="E186" s="26" t="s">
        <v>315</v>
      </c>
      <c r="F186" s="98"/>
      <c r="G186" s="5" t="s">
        <v>337</v>
      </c>
      <c r="H186" s="5" t="s">
        <v>410</v>
      </c>
      <c r="I186" s="5"/>
      <c r="J186" s="5"/>
    </row>
    <row r="187" spans="1:10">
      <c r="A187" s="1">
        <f t="shared" si="11"/>
        <v>171</v>
      </c>
      <c r="B187" s="6" t="s">
        <v>3</v>
      </c>
      <c r="C187" s="24">
        <v>3048</v>
      </c>
      <c r="D187" s="25" t="s">
        <v>321</v>
      </c>
      <c r="E187" s="26" t="s">
        <v>61</v>
      </c>
      <c r="F187" s="98"/>
      <c r="G187" s="5" t="s">
        <v>337</v>
      </c>
      <c r="H187" s="5" t="s">
        <v>410</v>
      </c>
      <c r="I187" s="5"/>
      <c r="J187" s="5"/>
    </row>
    <row r="188" spans="1:10">
      <c r="A188" s="1">
        <f t="shared" si="11"/>
        <v>172</v>
      </c>
      <c r="B188" s="6" t="s">
        <v>3</v>
      </c>
      <c r="C188" s="24">
        <v>3049</v>
      </c>
      <c r="D188" s="23" t="s">
        <v>322</v>
      </c>
      <c r="E188" s="26" t="s">
        <v>61</v>
      </c>
      <c r="F188" s="98"/>
      <c r="G188" s="5" t="s">
        <v>337</v>
      </c>
      <c r="H188" s="5" t="s">
        <v>410</v>
      </c>
      <c r="I188" s="5"/>
      <c r="J188" s="5"/>
    </row>
    <row r="189" spans="1:10">
      <c r="A189" s="1">
        <f t="shared" si="11"/>
        <v>173</v>
      </c>
      <c r="B189" s="6" t="s">
        <v>3</v>
      </c>
      <c r="C189" s="24">
        <v>3050</v>
      </c>
      <c r="D189" s="23" t="s">
        <v>323</v>
      </c>
      <c r="E189" s="26" t="s">
        <v>70</v>
      </c>
      <c r="F189" s="98"/>
      <c r="G189" s="5" t="s">
        <v>337</v>
      </c>
      <c r="H189" s="5" t="s">
        <v>410</v>
      </c>
      <c r="I189" s="5"/>
      <c r="J189" s="5"/>
    </row>
    <row r="190" spans="1:10">
      <c r="A190" s="1"/>
      <c r="B190" s="6"/>
      <c r="C190" s="24"/>
      <c r="D190" s="25"/>
      <c r="E190" s="26"/>
      <c r="F190" s="13"/>
      <c r="G190" s="5"/>
      <c r="H190" s="5"/>
      <c r="I190" s="5"/>
      <c r="J190" s="5"/>
    </row>
    <row r="191" spans="1:10" s="74" customFormat="1">
      <c r="A191" s="1"/>
      <c r="B191" s="6"/>
      <c r="C191" s="24"/>
      <c r="D191" s="25"/>
      <c r="E191" s="26"/>
      <c r="F191" s="13"/>
      <c r="G191" s="5"/>
      <c r="H191" s="5"/>
      <c r="I191" s="5"/>
      <c r="J191" s="5"/>
    </row>
    <row r="192" spans="1:10" s="74" customFormat="1">
      <c r="A192" s="1"/>
      <c r="B192" s="6"/>
      <c r="C192" s="24"/>
      <c r="D192" s="25"/>
      <c r="E192" s="26"/>
      <c r="F192" s="5"/>
      <c r="G192" s="5"/>
      <c r="H192" s="5"/>
      <c r="I192" s="5"/>
      <c r="J192" s="5"/>
    </row>
    <row r="193" spans="1:10" s="74" customFormat="1">
      <c r="A193" s="1"/>
      <c r="B193" s="6"/>
      <c r="C193" s="24"/>
      <c r="D193" s="25"/>
      <c r="E193" s="26"/>
      <c r="F193"/>
      <c r="G193" s="5"/>
      <c r="H193" s="5"/>
      <c r="I193" s="5"/>
      <c r="J193" s="5"/>
    </row>
    <row r="194" spans="1:10" s="74" customFormat="1">
      <c r="A194"/>
      <c r="B194"/>
      <c r="C194"/>
      <c r="D194"/>
      <c r="E194"/>
      <c r="F194"/>
      <c r="H194"/>
    </row>
    <row r="195" spans="1:10" s="74" customFormat="1">
      <c r="A195"/>
      <c r="B195"/>
      <c r="C195"/>
      <c r="D195"/>
      <c r="E195"/>
      <c r="F195"/>
      <c r="H195"/>
    </row>
    <row r="196" spans="1:10" s="74" customFormat="1">
      <c r="A196"/>
      <c r="B196"/>
      <c r="C196"/>
      <c r="D196"/>
      <c r="E196"/>
      <c r="F196"/>
      <c r="H196"/>
    </row>
    <row r="197" spans="1:10" s="74" customFormat="1">
      <c r="A197"/>
      <c r="B197"/>
      <c r="C197"/>
      <c r="D197"/>
      <c r="E197"/>
      <c r="F197"/>
      <c r="H197"/>
    </row>
    <row r="220" ht="15" hidden="1" customHeight="1"/>
    <row r="228" ht="15" hidden="1" customHeight="1"/>
    <row r="229" ht="15" hidden="1" customHeight="1"/>
  </sheetData>
  <autoFilter ref="A2:H192">
    <filterColumn colId="1" showButton="0"/>
  </autoFilter>
  <mergeCells count="1">
    <mergeCell ref="A1:G1"/>
  </mergeCells>
  <printOptions horizontalCentered="1"/>
  <pageMargins left="0.196850393700787" right="0.15748031496063" top="0.15748031496063" bottom="0.15748031496063" header="0.31496062992126" footer="0.15748031496063"/>
  <pageSetup paperSize="9" scale="70" orientation="portrait" r:id="rId1"/>
  <rowBreaks count="1" manualBreakCount="1">
    <brk id="170" max="7" man="1"/>
  </rowBreaks>
  <ignoredErrors>
    <ignoredError sqref="C126:C189 C4:C121 C123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Z12"/>
  <sheetViews>
    <sheetView tabSelected="1" workbookViewId="0">
      <selection activeCell="D14" sqref="D14"/>
    </sheetView>
  </sheetViews>
  <sheetFormatPr defaultRowHeight="15"/>
  <cols>
    <col min="1" max="1" width="12.7109375" customWidth="1"/>
    <col min="2" max="2" width="23" customWidth="1"/>
    <col min="3" max="3" width="12.140625" bestFit="1" customWidth="1"/>
    <col min="4" max="4" width="9.5703125" bestFit="1" customWidth="1"/>
    <col min="5" max="15" width="12.7109375" customWidth="1"/>
    <col min="16" max="16" width="9.85546875" bestFit="1" customWidth="1"/>
  </cols>
  <sheetData>
    <row r="1" spans="1:26" ht="24.6" customHeight="1">
      <c r="A1" s="129" t="s">
        <v>368</v>
      </c>
      <c r="B1" s="129"/>
      <c r="C1" s="129"/>
      <c r="D1" s="129"/>
      <c r="E1" s="129"/>
      <c r="F1" s="129"/>
      <c r="G1" s="129"/>
      <c r="H1" s="129"/>
      <c r="I1" s="129"/>
      <c r="J1" s="129"/>
      <c r="K1" s="109"/>
      <c r="L1" s="109"/>
      <c r="M1" s="109"/>
      <c r="N1" s="109"/>
    </row>
    <row r="2" spans="1:26" ht="15.75" thickBot="1"/>
    <row r="3" spans="1:26" ht="21.6" customHeight="1" thickTop="1" thickBot="1">
      <c r="A3" s="110" t="s">
        <v>369</v>
      </c>
      <c r="B3" s="111"/>
      <c r="C3" s="84" t="s">
        <v>370</v>
      </c>
      <c r="D3" s="123">
        <f>D4+F4+J4</f>
        <v>172</v>
      </c>
      <c r="E3" s="124"/>
      <c r="F3" s="125"/>
      <c r="G3" s="85" t="s">
        <v>371</v>
      </c>
      <c r="H3" s="126">
        <f>D4+F4</f>
        <v>165</v>
      </c>
      <c r="I3" s="127"/>
      <c r="J3" s="128"/>
    </row>
    <row r="4" spans="1:26" ht="24.75" customHeight="1" thickTop="1" thickBot="1">
      <c r="A4" s="112"/>
      <c r="B4" s="113"/>
      <c r="C4" s="86" t="s">
        <v>372</v>
      </c>
      <c r="D4" s="89">
        <f>B8+M8</f>
        <v>15</v>
      </c>
      <c r="E4" s="87" t="s">
        <v>373</v>
      </c>
      <c r="F4" s="89">
        <f>A12</f>
        <v>150</v>
      </c>
      <c r="G4" s="88" t="s">
        <v>374</v>
      </c>
      <c r="H4" s="89">
        <v>17</v>
      </c>
      <c r="I4" s="87" t="s">
        <v>380</v>
      </c>
      <c r="J4" s="89">
        <f>N8</f>
        <v>7</v>
      </c>
    </row>
    <row r="5" spans="1:26" ht="15.75" thickTop="1"/>
    <row r="7" spans="1:26" ht="30.6" customHeight="1">
      <c r="A7" s="82" t="s">
        <v>370</v>
      </c>
      <c r="B7" s="83" t="s">
        <v>375</v>
      </c>
      <c r="C7" s="82" t="s">
        <v>376</v>
      </c>
      <c r="D7" s="82" t="s">
        <v>145</v>
      </c>
      <c r="E7" s="82" t="s">
        <v>297</v>
      </c>
      <c r="F7" s="83" t="s">
        <v>399</v>
      </c>
      <c r="G7" s="82" t="s">
        <v>101</v>
      </c>
      <c r="H7" s="83" t="s">
        <v>401</v>
      </c>
      <c r="I7" s="83" t="s">
        <v>402</v>
      </c>
      <c r="J7" s="82" t="s">
        <v>377</v>
      </c>
      <c r="K7" s="82" t="s">
        <v>378</v>
      </c>
      <c r="L7" s="82" t="s">
        <v>317</v>
      </c>
      <c r="M7" s="82" t="s">
        <v>4</v>
      </c>
      <c r="N7" s="82" t="s">
        <v>380</v>
      </c>
      <c r="O7" s="82" t="s">
        <v>379</v>
      </c>
    </row>
    <row r="8" spans="1:26">
      <c r="A8" s="80">
        <f>SUM(B8:M8)</f>
        <v>169</v>
      </c>
      <c r="B8" s="80">
        <v>14</v>
      </c>
      <c r="C8" s="80">
        <v>9</v>
      </c>
      <c r="D8" s="80">
        <v>31</v>
      </c>
      <c r="E8" s="80">
        <v>27</v>
      </c>
      <c r="F8" s="80">
        <v>12</v>
      </c>
      <c r="G8" s="80">
        <v>28</v>
      </c>
      <c r="H8" s="80">
        <v>9</v>
      </c>
      <c r="I8" s="80">
        <v>6</v>
      </c>
      <c r="J8" s="80">
        <v>7</v>
      </c>
      <c r="K8" s="80">
        <v>5</v>
      </c>
      <c r="L8" s="80">
        <v>20</v>
      </c>
      <c r="M8" s="80">
        <v>1</v>
      </c>
      <c r="N8" s="80">
        <v>7</v>
      </c>
      <c r="O8" s="80">
        <v>5</v>
      </c>
    </row>
    <row r="9" spans="1:26">
      <c r="B9" s="81"/>
      <c r="C9" s="81"/>
      <c r="D9" s="81"/>
      <c r="E9" s="81"/>
      <c r="F9" s="81"/>
      <c r="G9" s="81"/>
      <c r="H9" s="81"/>
      <c r="I9" s="81"/>
      <c r="J9" s="81"/>
      <c r="K9" s="81"/>
      <c r="L9" s="81"/>
      <c r="M9" s="81"/>
      <c r="N9" s="81"/>
      <c r="O9" s="81"/>
    </row>
    <row r="10" spans="1:26">
      <c r="B10" t="s">
        <v>411</v>
      </c>
    </row>
    <row r="11" spans="1:26">
      <c r="A11" s="120" t="s">
        <v>397</v>
      </c>
      <c r="B11" s="120" t="s">
        <v>381</v>
      </c>
      <c r="C11" s="120" t="s">
        <v>382</v>
      </c>
      <c r="D11" s="120" t="s">
        <v>383</v>
      </c>
      <c r="E11" s="120" t="s">
        <v>404</v>
      </c>
      <c r="F11" s="120" t="s">
        <v>405</v>
      </c>
      <c r="G11" s="120" t="s">
        <v>406</v>
      </c>
      <c r="H11" s="120" t="s">
        <v>407</v>
      </c>
      <c r="I11" s="120" t="s">
        <v>403</v>
      </c>
      <c r="J11" s="120" t="s">
        <v>408</v>
      </c>
      <c r="K11" s="120" t="s">
        <v>374</v>
      </c>
      <c r="L11" s="120" t="s">
        <v>380</v>
      </c>
      <c r="M11" s="119"/>
      <c r="N11" s="119"/>
      <c r="O11" s="119"/>
      <c r="P11" s="119"/>
      <c r="Q11" s="119"/>
      <c r="R11" s="119"/>
      <c r="S11" s="119"/>
      <c r="T11" s="119"/>
      <c r="U11" s="119"/>
      <c r="V11" s="119"/>
      <c r="W11" s="119"/>
      <c r="X11" s="119"/>
      <c r="Y11" s="119"/>
      <c r="Z11" s="119"/>
    </row>
    <row r="12" spans="1:26">
      <c r="A12" s="121">
        <v>150</v>
      </c>
      <c r="B12" s="121">
        <v>8</v>
      </c>
      <c r="C12" s="121">
        <v>46</v>
      </c>
      <c r="D12" s="121">
        <v>19</v>
      </c>
      <c r="E12" s="121">
        <v>3</v>
      </c>
      <c r="F12" s="121">
        <v>1</v>
      </c>
      <c r="G12" s="121">
        <v>28</v>
      </c>
      <c r="H12" s="121">
        <v>7</v>
      </c>
      <c r="I12" s="121">
        <v>11</v>
      </c>
      <c r="J12" s="121">
        <v>10</v>
      </c>
      <c r="K12" s="121">
        <v>17</v>
      </c>
      <c r="L12" s="121">
        <v>7</v>
      </c>
      <c r="M12" s="118"/>
      <c r="N12" s="118"/>
      <c r="O12" s="118"/>
      <c r="P12" s="118"/>
      <c r="Q12" s="118"/>
      <c r="R12" s="118"/>
      <c r="S12" s="118"/>
      <c r="T12" s="118"/>
      <c r="U12" s="118"/>
      <c r="V12" s="118"/>
      <c r="W12" s="118"/>
      <c r="X12" s="118"/>
      <c r="Y12" s="118"/>
      <c r="Z12" s="118"/>
    </row>
  </sheetData>
  <mergeCells count="3">
    <mergeCell ref="D3:F3"/>
    <mergeCell ref="H3:J3"/>
    <mergeCell ref="A1:J1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ComboBox1">
          <controlPr defaultSize="0" autoLine="0" r:id="rId5">
            <anchor moveWithCells="1">
              <from>
                <xdr:col>0</xdr:col>
                <xdr:colOff>152400</xdr:colOff>
                <xdr:row>3</xdr:row>
                <xdr:rowOff>47625</xdr:rowOff>
              </from>
              <to>
                <xdr:col>1</xdr:col>
                <xdr:colOff>419100</xdr:colOff>
                <xdr:row>3</xdr:row>
                <xdr:rowOff>285750</xdr:rowOff>
              </to>
            </anchor>
          </controlPr>
        </control>
      </mc:Choice>
      <mc:Fallback>
        <control shapeId="3073" r:id="rId4" name="ComboBox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DATA INPUT</vt:lpstr>
      <vt:lpstr>REPORT</vt:lpstr>
      <vt:lpstr>'DATA INPUT'!Print_Area</vt:lpstr>
      <vt:lpstr>'DATA INPUT'!Print_Titles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Vina Offshore</dc:creator>
  <cp:lastModifiedBy>xuanhnvt</cp:lastModifiedBy>
  <cp:lastPrinted>2020-07-31T06:56:51Z</cp:lastPrinted>
  <dcterms:created xsi:type="dcterms:W3CDTF">2018-01-10T00:48:52Z</dcterms:created>
  <dcterms:modified xsi:type="dcterms:W3CDTF">2020-10-27T15:24:45Z</dcterms:modified>
</cp:coreProperties>
</file>